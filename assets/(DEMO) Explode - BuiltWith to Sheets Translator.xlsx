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DATA!$A$2:$AT$103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tc={540bb061-5875-4a40-9b71-848dc51cb563}</author>
  </authors>
  <commentList>
    <comment authorId="0" xr:uid="{540bb061-5875-4a40-9b71-848dc51cb563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 multivalue cells!
</t>
      </text>
    </comment>
  </commentList>
</comments>
</file>

<file path=xl/sharedStrings.xml><?xml version="1.0" encoding="utf-8"?>
<sst xmlns="http://schemas.openxmlformats.org/spreadsheetml/2006/main" count="790" uniqueCount="393">
  <si>
    <t>Domain</t>
  </si>
  <si>
    <t>Location on Site</t>
  </si>
  <si>
    <t>Primary Domain</t>
  </si>
  <si>
    <t>Spend</t>
  </si>
  <si>
    <t>Revenue</t>
  </si>
  <si>
    <t>Followers</t>
  </si>
  <si>
    <t>Employees</t>
  </si>
  <si>
    <t>Company Name</t>
  </si>
  <si>
    <t>Vertical</t>
  </si>
  <si>
    <t>BuiltWith Rank</t>
  </si>
  <si>
    <t>Tranco Rank</t>
  </si>
  <si>
    <t>Majestic Rank</t>
  </si>
  <si>
    <t>Page Rank</t>
  </si>
  <si>
    <t>Telephones</t>
  </si>
  <si>
    <t>Telephone Counts</t>
  </si>
  <si>
    <t>Multivalue?</t>
  </si>
  <si>
    <t>Emails</t>
  </si>
  <si>
    <t>Twitter</t>
  </si>
  <si>
    <t>Facebook</t>
  </si>
  <si>
    <t>Linkedin</t>
  </si>
  <si>
    <t>Google</t>
  </si>
  <si>
    <t>Pinterest</t>
  </si>
  <si>
    <t>Github</t>
  </si>
  <si>
    <t>Instagram</t>
  </si>
  <si>
    <t>Vk</t>
  </si>
  <si>
    <t>Vimeo</t>
  </si>
  <si>
    <t>Youtube</t>
  </si>
  <si>
    <t>Tiktok</t>
  </si>
  <si>
    <t>Threads</t>
  </si>
  <si>
    <t>X</t>
  </si>
  <si>
    <t>Weibo</t>
  </si>
  <si>
    <t>Tieba</t>
  </si>
  <si>
    <t>Xiaohongshu</t>
  </si>
  <si>
    <t>Douyin</t>
  </si>
  <si>
    <t>Ticker</t>
  </si>
  <si>
    <t>People</t>
  </si>
  <si>
    <t>City</t>
  </si>
  <si>
    <t>State</t>
  </si>
  <si>
    <t>Postcode</t>
  </si>
  <si>
    <t>Country</t>
  </si>
  <si>
    <t>First Detected</t>
  </si>
  <si>
    <t>Last Detected</t>
  </si>
  <si>
    <t>First Indexed</t>
  </si>
  <si>
    <t>Last Indexed</t>
  </si>
  <si>
    <t>Exclusion</t>
  </si>
  <si>
    <t>Compliance</t>
  </si>
  <si>
    <t>paimentupa.fi</t>
  </si>
  <si>
    <t>shop.paimentupa.fi</t>
  </si>
  <si>
    <t>$</t>
  </si>
  <si>
    <t>1,120</t>
  </si>
  <si>
    <t>Paimentupa</t>
  </si>
  <si>
    <t>Travel</t>
  </si>
  <si>
    <t>info@paimentupa.fi</t>
  </si>
  <si>
    <t>facebook.com/paimentupa</t>
  </si>
  <si>
    <t>instagram.com/paimentupa</t>
  </si>
  <si>
    <t>Koli</t>
  </si>
  <si>
    <t>FI</t>
  </si>
  <si>
    <t>GDPR FI</t>
  </si>
  <si>
    <t>insureskyway.com</t>
  </si>
  <si>
    <t>Finance</t>
  </si>
  <si>
    <t>+1-206-772-3388</t>
  </si>
  <si>
    <t>Seattle</t>
  </si>
  <si>
    <t>WA</t>
  </si>
  <si>
    <t>US</t>
  </si>
  <si>
    <t>winterkids.org</t>
  </si>
  <si>
    <t>2,140</t>
  </si>
  <si>
    <t>WinterKids</t>
  </si>
  <si>
    <t>Education</t>
  </si>
  <si>
    <t>+1-207-871-5700
+1-855-832-3399</t>
  </si>
  <si>
    <t>info@winterkids.org
jmulkern@winterkids.org
mdoyle@winterkids.org
rwilber@winterkids.org
jgreen@winterkids.org</t>
  </si>
  <si>
    <t>twitter.com/WinterKids</t>
  </si>
  <si>
    <t>facebook.com/winterkids</t>
  </si>
  <si>
    <t>linkedin.com/company/winterkidsmaine</t>
  </si>
  <si>
    <t>pinterest.com/winterkidsed</t>
  </si>
  <si>
    <t>instagram.com/winterkidsmaine</t>
  </si>
  <si>
    <t>x.com/winterkids</t>
  </si>
  <si>
    <t>Many Ways - Support
Parker Swenson - President
Chad Creelman - President
Seth Coburn - President
Joe Lajoie - President
Jeff Zachau - President
Marion Doyle - Marketing
Kristel Hayes - Marketing
Jillian Rich - Marketing
Theresa Tringale - Manager
Josh Harrington - Manager
Tom Long - Manager
Justin Brewer - Manager
Julie Mulkern - Director
Dirk Gouwens - Director
Molly Beeley - Director
Duane Morris - Director
Courtney Holub - Director
Ryan Larsen - C-Suite
Peter Lowell - Account</t>
  </si>
  <si>
    <t>ME</t>
  </si>
  <si>
    <t>sacredfuneralhome.com</t>
  </si>
  <si>
    <t>Sacred Funeral Home Inc</t>
  </si>
  <si>
    <t>Technology And Computing</t>
  </si>
  <si>
    <t>+1-214-376-7273
+1-214-376-7272
+1-617-849-5459
+1-800-952-5210
+1-201-701-6799
+1-866-303-1880
+1-844-859-0845</t>
  </si>
  <si>
    <t>twitter.com/sacredfuneral</t>
  </si>
  <si>
    <t>facebook.com/sacredfuneral</t>
  </si>
  <si>
    <t>instagram.com/sacredfuneral</t>
  </si>
  <si>
    <t>Chandra Gerald-Jennings - C-Suite</t>
  </si>
  <si>
    <t>Cedar Hill</t>
  </si>
  <si>
    <t>TX</t>
  </si>
  <si>
    <t>brilliancesubaru.com</t>
  </si>
  <si>
    <t>Automotive And Vehicles</t>
  </si>
  <si>
    <t>+1-224-281-4300
+1-847-366-1295
+1-312-718-1681
+1-847-443-5501</t>
  </si>
  <si>
    <t>bdaniel@brilliancesubaru.com
jdaluga@brilliancesubaru.com
mburden@brilliancesubaru.com
jgunther@brilliancesubaru.com
jkeefe@brilliancesubaru.com
pseal@brilliancesubaru.com
jring@brilliancesubaru.com
rdencs@brilliancesubaru.com
dpagnotta@brilliancesubaru.com
etroike@brilliancesubaru.com
jturner@brilliancesubaru.com
jszostek@brilliancesubaru.com
rnievesjr@brilliancesubaru.com
pliang@brilliancesubaru.com
lkilhefner@brilliancesubaru.com
dthomas@brilliancesubaru.com
amennella@brilliancesubaru.com
kelly.keefe@brilliancesubaru.com
ksprague@brilliancesubaru.com
snava@brilliancesubaru.com
rpatel@brilliancesubaru.com
eobispo@brilliancesubaru.com
jgiardino@brilliancesubaru.com</t>
  </si>
  <si>
    <t>twitter.com/Brilliance_Sub</t>
  </si>
  <si>
    <t>youtube.com/user/brilliancesubaru</t>
  </si>
  <si>
    <t>Mike Burden - Sales
Joe Gunther - Sales
Dan Pagnotta - Sales
Jay Turner - Sales
Joe Szostek - Sales
Keith Johnson - Sales
Phil Liang - Sales
Richard Winchester - Sales
Chris Romero - Sales
Rick Nieves - Sales
Angelo Gamboa - Sales
Tyler Burmeister - Sales
Nick Isaacson - Sales
Chad Cassell - Sales
Fernando Romero - Sales
Justin Gesswein - Sales
Lauri Cavin - Sales
Scott Hembrough - Sales
Stephanie Nava - Sales
Ethan Obispo - Sales
Jack Giardino - Sales
Preston Seal - Manager
Jason Ring - Manager
Don Cornwell - Manager
Dan Cornwell - Manager
Jeremy Cybulski - Manager
Katie Sprague - Manager
Lee Folmar - Manager
Jim Deluga - Director
James Keefe - Director
Kelly Keefe - Director
Maureen Kane - Director</t>
  </si>
  <si>
    <t>Elgin</t>
  </si>
  <si>
    <t>IL</t>
  </si>
  <si>
    <t>tatechryslerfrederick.com</t>
  </si>
  <si>
    <t>+1-301-228-0801
+1-866-762-4130</t>
  </si>
  <si>
    <t>Frederick</t>
  </si>
  <si>
    <t>MD</t>
  </si>
  <si>
    <t>lenlyall.com</t>
  </si>
  <si>
    <t>+1-303-344-3100
+1-720-434-8860
+1-800-284-2271
+1-800-706-2814</t>
  </si>
  <si>
    <t>twitter.com/lenlyallchevy</t>
  </si>
  <si>
    <t>facebook.com/lenlyallchevrolet</t>
  </si>
  <si>
    <t>pinterest.com/lenlyall</t>
  </si>
  <si>
    <t>instagram.com/lenlyallchevy</t>
  </si>
  <si>
    <t>youtube.com/user/lenlyallchevrolet</t>
  </si>
  <si>
    <t>Tom Marsh - Sales
Dion Pappas - Sales
Raul Villarreal - Sales
Len Lyall - Sales
Rich Giorgi - Sales
Zachary Vaught - Sales
Jorge Murillo - Sales
Jose Calderon - Sales
Rodney Paxton - Sales
Tom Cole - Sales
Nick Tindall - Manager
Adam Lyall - Manager
Harris Fleet - Manager
Chris Henderson - Manager
Brandon Pryor - Manager
Brian Kindsvater - Manager
Robert Aguirre - Manager
Hunter Johnson - Manager
Jon Hall - Manager
Dan Johnson - Director
Jerry Pryor - Director</t>
  </si>
  <si>
    <t>Aurora</t>
  </si>
  <si>
    <t>CO</t>
  </si>
  <si>
    <t>quotemyflinsurance.com</t>
  </si>
  <si>
    <t>+1-305-682-1442
+1-309-766-0380</t>
  </si>
  <si>
    <t>Miami</t>
  </si>
  <si>
    <t>FL</t>
  </si>
  <si>
    <t>slivingstonphotos.com</t>
  </si>
  <si>
    <t>Shopping</t>
  </si>
  <si>
    <t>+1-305-898-0276</t>
  </si>
  <si>
    <t>scott@slivingstonphotos.com</t>
  </si>
  <si>
    <t>Victoria Pribble - Designer</t>
  </si>
  <si>
    <t>New York</t>
  </si>
  <si>
    <t>NY</t>
  </si>
  <si>
    <t>technologytraining.com</t>
  </si>
  <si>
    <t>webmail.technologytraining.com</t>
  </si>
  <si>
    <t>Technology Training Corporation</t>
  </si>
  <si>
    <t>+1-310-320-8101</t>
  </si>
  <si>
    <t>facebook.com/technologytrainingcorporation</t>
  </si>
  <si>
    <t>Torrance</t>
  </si>
  <si>
    <t>CA</t>
  </si>
  <si>
    <t>California CCPA</t>
  </si>
  <si>
    <t>tonationstudios.com</t>
  </si>
  <si>
    <t>Tonation Studios</t>
  </si>
  <si>
    <t>Unknown</t>
  </si>
  <si>
    <t>+1-310-484-1212</t>
  </si>
  <si>
    <t>UN</t>
  </si>
  <si>
    <t>spanglesinc.com</t>
  </si>
  <si>
    <t>Spangles Inc</t>
  </si>
  <si>
    <t>+1-316-685-8817</t>
  </si>
  <si>
    <t>twitter.com/Spangles_Inc</t>
  </si>
  <si>
    <t>facebook.com/spanglesinc</t>
  </si>
  <si>
    <t>youtube.com/user/spanglesinc</t>
  </si>
  <si>
    <t>Rene Steven - Manager</t>
  </si>
  <si>
    <t>Wichita</t>
  </si>
  <si>
    <t>KS</t>
  </si>
  <si>
    <t>bmwofcatonsville.com</t>
  </si>
  <si>
    <t>Bmw Of Catonsville</t>
  </si>
  <si>
    <t>+1-410-744-2000
+1-844-239-3058
+1-855-415-9532
+1-844-239-3059
+1-844-324-1856
+1-443-341-0725
+1-855-624-0380</t>
  </si>
  <si>
    <t>facebook.com/bmwofcatonsville</t>
  </si>
  <si>
    <t>Catonsville</t>
  </si>
  <si>
    <t>viewtucsonhomesforsale.com</t>
  </si>
  <si>
    <t>Commissions Inc</t>
  </si>
  <si>
    <t>+1-520-314-9820
+1-855-259-7277
+1-855-246-2717</t>
  </si>
  <si>
    <t>facebook.com/tucsonhomeforsale</t>
  </si>
  <si>
    <t>Tucson</t>
  </si>
  <si>
    <t>AZ</t>
  </si>
  <si>
    <t>tuscanydelray.com</t>
  </si>
  <si>
    <t>FCI Residential Corporation</t>
  </si>
  <si>
    <t>Home And Garden</t>
  </si>
  <si>
    <t>+1-561-484-5610</t>
  </si>
  <si>
    <t>facebook.com/tuscanydelrayapartments</t>
  </si>
  <si>
    <t>instagram.com/tuscanydelrayapartments</t>
  </si>
  <si>
    <t>Delray Beach</t>
  </si>
  <si>
    <t>memorialalternatives.com</t>
  </si>
  <si>
    <t>Memorial Alternatives</t>
  </si>
  <si>
    <t>Health And Fitness</t>
  </si>
  <si>
    <t>+1-616-363-3740
+1-617-849-5459
+1-800-952-5210
+1-201-701-6799
+1-866-303-1880
+1-844-859-0845</t>
  </si>
  <si>
    <t>mark@memorialalternatives.com
info@memorialalternatives.com
justin@memorialalternatives.com</t>
  </si>
  <si>
    <t>Grand Rapids</t>
  </si>
  <si>
    <t>MI</t>
  </si>
  <si>
    <t>herbchambersbmwmedford.com</t>
  </si>
  <si>
    <t>+1-617-731-8700</t>
  </si>
  <si>
    <t>Medford</t>
  </si>
  <si>
    <t>MA</t>
  </si>
  <si>
    <t>watermark.auto</t>
  </si>
  <si>
    <t>+1-618-294-8787
+1-270-821-4100
+1-618-969-8325
+1-618-969-8320
+1-877-298-4595
+1-866-941-0620
+1-800-549-3637
+1-877-862-2173
+1-618-993-2161</t>
  </si>
  <si>
    <t>twitter.com/watermarkautogr</t>
  </si>
  <si>
    <t>facebook.com/watermarkautogroup</t>
  </si>
  <si>
    <t>Jerrod Grant - President
Andrew Hancock - Manager
Sarah Hogan - Manager
Carri Carey - Manager
Crystal Oxendine - Manager
Mike Absher - C-Suite
David Griffin - C-Suite
Pablo Gonzalez - C-Suite</t>
  </si>
  <si>
    <t>Marion</t>
  </si>
  <si>
    <t>miniofstevenscreek.com</t>
  </si>
  <si>
    <t>Mini Of Stevens Creek</t>
  </si>
  <si>
    <t>+1-650-513-0482
+1-408-641-4608
+1-833-770-1149</t>
  </si>
  <si>
    <t>facebook.com/miniofstevenscreek</t>
  </si>
  <si>
    <t>PII - Sales
PII - President
PII - Manager
PII - C-Suite</t>
  </si>
  <si>
    <t>Santa Clara</t>
  </si>
  <si>
    <t>insurancekirksvillemo.com</t>
  </si>
  <si>
    <t>+1-660-947-2811
+1-913-814-6927
+1-877-734-2265</t>
  </si>
  <si>
    <t>Kirksville</t>
  </si>
  <si>
    <t>MO</t>
  </si>
  <si>
    <t>rotoql.com</t>
  </si>
  <si>
    <t>7,156</t>
  </si>
  <si>
    <t>Rotoql Inc</t>
  </si>
  <si>
    <t>+1-800-444-4444</t>
  </si>
  <si>
    <t>support@rotoql.com</t>
  </si>
  <si>
    <t>twitter.com/rotoqlapp</t>
  </si>
  <si>
    <t>facebook.com/rotoqlapp</t>
  </si>
  <si>
    <t>linkedin.com/company/rotoql</t>
  </si>
  <si>
    <t>New York City</t>
  </si>
  <si>
    <t>egov-assist.com</t>
  </si>
  <si>
    <t>+1-800-680-7289
+1-844-565-3473</t>
  </si>
  <si>
    <t>support@egov-assist.com</t>
  </si>
  <si>
    <t>Baltimore</t>
  </si>
  <si>
    <t>verahogenson.com</t>
  </si>
  <si>
    <t>1,989</t>
  </si>
  <si>
    <t>Vera Hogenson Photography Blog</t>
  </si>
  <si>
    <t>Art And Entertainment</t>
  </si>
  <si>
    <t>+1-850-691-6729</t>
  </si>
  <si>
    <t>twitter.com/VeraHogenson</t>
  </si>
  <si>
    <t>facebook.com/verahogensonphotographer</t>
  </si>
  <si>
    <t>pinterest.com/verahogenson</t>
  </si>
  <si>
    <t>instagram.com/verahogensonphotography</t>
  </si>
  <si>
    <t>Destin</t>
  </si>
  <si>
    <t>camerawithaconscience.com</t>
  </si>
  <si>
    <t>Camera With A Conscience</t>
  </si>
  <si>
    <t>+1-860-796-6244
+1-860-712-1111</t>
  </si>
  <si>
    <t>Deb Key - Technical</t>
  </si>
  <si>
    <t>Avon</t>
  </si>
  <si>
    <t>CT</t>
  </si>
  <si>
    <t>sakelarischryslerdodgejeepram.com</t>
  </si>
  <si>
    <t>+1-866-979-8745
+1-866-708-1929
+1-573-346-5551
+1-575-346-5551</t>
  </si>
  <si>
    <t>Camdenton</t>
  </si>
  <si>
    <t>cortlandchryslerdodgejeep.com</t>
  </si>
  <si>
    <t>+1-877-279-3113
+1-877-361-2164
+1-607-218-7520</t>
  </si>
  <si>
    <t>facebook.com/cortland.chrysler</t>
  </si>
  <si>
    <t>Cortland</t>
  </si>
  <si>
    <t>myislandvw.com</t>
  </si>
  <si>
    <t>Volkswagen of America Inc</t>
  </si>
  <si>
    <t>+1-877-357-9663
+1-855-456-4692
+1-877-810-5513
+1-855-602-0808
+1-718-513-7500</t>
  </si>
  <si>
    <t>webleads@myislandvw.com</t>
  </si>
  <si>
    <t>twitter.com/islandvw</t>
  </si>
  <si>
    <t>facebook.com/islandvw</t>
  </si>
  <si>
    <t>instagram.com/islandvolkswagen</t>
  </si>
  <si>
    <t>Sun Remote - Sales</t>
  </si>
  <si>
    <t>Staten Island</t>
  </si>
  <si>
    <t>jijumathewphotography.com</t>
  </si>
  <si>
    <t>1,486</t>
  </si>
  <si>
    <t>Jiju Mathew Photography About</t>
  </si>
  <si>
    <t>Style And Fashion</t>
  </si>
  <si>
    <t>+12158179848
+12154000843
+12159017629
+1-215-400-0843</t>
  </si>
  <si>
    <t>instagram.com/jijumathewphotography</t>
  </si>
  <si>
    <t>Philadelphia</t>
  </si>
  <si>
    <t>PA</t>
  </si>
  <si>
    <t>your-platform.co.uk</t>
  </si>
  <si>
    <t>YOUR Platform</t>
  </si>
  <si>
    <t>+44-34-50942255</t>
  </si>
  <si>
    <t>questions@your-platform.co.uk</t>
  </si>
  <si>
    <t>PII - Support
PII - Manager
PII - Director</t>
  </si>
  <si>
    <t>London</t>
  </si>
  <si>
    <t>ENG</t>
  </si>
  <si>
    <t>EC1V</t>
  </si>
  <si>
    <t>GB</t>
  </si>
  <si>
    <t>GDPR GB</t>
  </si>
  <si>
    <t>suewex.de</t>
  </si>
  <si>
    <t>Deutsche Bahn AG</t>
  </si>
  <si>
    <t>+49-180-699663320</t>
  </si>
  <si>
    <t>Bonn</t>
  </si>
  <si>
    <t>DE</t>
  </si>
  <si>
    <t>GDPR DE</t>
  </si>
  <si>
    <t>debeganphotography.com</t>
  </si>
  <si>
    <t>instagram.com/debeganphotography</t>
  </si>
  <si>
    <t>katiegracie.com</t>
  </si>
  <si>
    <t>samovesti.com</t>
  </si>
  <si>
    <t>formulamillenium.org</t>
  </si>
  <si>
    <t>sofia-restaurant-camberwell.com.au</t>
  </si>
  <si>
    <t>Melbourne</t>
  </si>
  <si>
    <t>VIC</t>
  </si>
  <si>
    <t>AU</t>
  </si>
  <si>
    <t>sarahkvphotography.ca</t>
  </si>
  <si>
    <t>3dream.online</t>
  </si>
  <si>
    <t>meuwebcnpj.site</t>
  </si>
  <si>
    <t>not-just-teeshirts.com</t>
  </si>
  <si>
    <t>insurancequotesfor-indiana.com</t>
  </si>
  <si>
    <t>the-lavender-goat.com.au</t>
  </si>
  <si>
    <t>inovvati.com</t>
  </si>
  <si>
    <t>lindseywiles.com</t>
  </si>
  <si>
    <t>Zenfolio Lindsey Wiles</t>
  </si>
  <si>
    <t>Sports</t>
  </si>
  <si>
    <t>Lindsey Wiles - Technical</t>
  </si>
  <si>
    <t>pielespanola.es</t>
  </si>
  <si>
    <t>Piel EspaAola</t>
  </si>
  <si>
    <t>CÓRDOBA</t>
  </si>
  <si>
    <t>ES</t>
  </si>
  <si>
    <t>GDPR ES</t>
  </si>
  <si>
    <t>kenzodouchet.online</t>
  </si>
  <si>
    <t>eratix.space</t>
  </si>
  <si>
    <t>allmysons.fish</t>
  </si>
  <si>
    <t>hyundaidrive.com</t>
  </si>
  <si>
    <r>
      <rPr>
        <rFont val="Quattrocento Sans"/>
        <sz val="10.0"/>
      </rPr>
      <t xml:space="preserve">static.hyundaidrive.com
</t>
    </r>
    <r>
      <rPr>
        <rFont val="Quattrocento Sans"/>
        <color rgb="FF1155CC"/>
        <sz val="10.0"/>
        <u/>
      </rPr>
      <t>static.hyundaidrive.com/*</t>
    </r>
  </si>
  <si>
    <t>Hyundai Motor America</t>
  </si>
  <si>
    <t>twitter.com/hyundai</t>
  </si>
  <si>
    <t>facebook.com/hyundai</t>
  </si>
  <si>
    <t>pinterest.com/hyundaiusa</t>
  </si>
  <si>
    <t>instagram.com/hyundaiusa</t>
  </si>
  <si>
    <t>Fountain Valley</t>
  </si>
  <si>
    <t>phone-info.com</t>
  </si>
  <si>
    <t>Phone-Info.com</t>
  </si>
  <si>
    <t>comments@phone-info.com</t>
  </si>
  <si>
    <t>toto84.online</t>
  </si>
  <si>
    <t>marcosolobria.com</t>
  </si>
  <si>
    <t>Marco Solobria</t>
  </si>
  <si>
    <t>info@marcosolobria.com</t>
  </si>
  <si>
    <t>twitter.com/marco_solobria</t>
  </si>
  <si>
    <t>facebook.com/solobria</t>
  </si>
  <si>
    <t>instagram.com/marcosolobria</t>
  </si>
  <si>
    <t>El Puerto De Santa Maria</t>
  </si>
  <si>
    <t>AN</t>
  </si>
  <si>
    <t>norwegianweatherprotection.com</t>
  </si>
  <si>
    <t>janainabenicio.com</t>
  </si>
  <si>
    <t>shopbocau.com</t>
  </si>
  <si>
    <t>bionanopeptidi.site</t>
  </si>
  <si>
    <t>nymbrace.site</t>
  </si>
  <si>
    <t>peauxpierres.fr</t>
  </si>
  <si>
    <t>facebook.com/peauxpierres</t>
  </si>
  <si>
    <t>instagram.com/mailisdouet.peauxpierres</t>
  </si>
  <si>
    <t>rioazulmexicanrestaurant.com</t>
  </si>
  <si>
    <t>pastramiandsteak.com</t>
  </si>
  <si>
    <t>caribou-shop.com</t>
  </si>
  <si>
    <t>unrulycreative.design</t>
  </si>
  <si>
    <t>calmetcreations.sumupstore.com</t>
  </si>
  <si>
    <t>sumupstore.com</t>
  </si>
  <si>
    <t>campfirepodcastnetwork.com</t>
  </si>
  <si>
    <t>2,745</t>
  </si>
  <si>
    <t>Just another WordPress site</t>
  </si>
  <si>
    <t>contact@campfirepodcastnetwork.com</t>
  </si>
  <si>
    <t>twitter.com/campfiretotsau</t>
  </si>
  <si>
    <t>facebook.com/campfire.tales.podcast</t>
  </si>
  <si>
    <t>instagram.com/campfire.tales.podcast</t>
  </si>
  <si>
    <t>tiktok.com/@campfire.podcast</t>
  </si>
  <si>
    <t>87.you2.pl</t>
  </si>
  <si>
    <t>you2.pl</t>
  </si>
  <si>
    <t>sphagnousyst.com</t>
  </si>
  <si>
    <t>mimir.es</t>
  </si>
  <si>
    <t>Society</t>
  </si>
  <si>
    <t>Pozuelo De Alarcon</t>
  </si>
  <si>
    <t>riggerslife.com</t>
  </si>
  <si>
    <t>facebook.com/riggerslife</t>
  </si>
  <si>
    <t>instagram.com/riggerslife</t>
  </si>
  <si>
    <t>childcareharrogate.com</t>
  </si>
  <si>
    <t>screenprosolutions.com</t>
  </si>
  <si>
    <t>bootupcapital.com</t>
  </si>
  <si>
    <t>porterstudiosaz.com</t>
  </si>
  <si>
    <t>San Tan Valley</t>
  </si>
  <si>
    <t>zaphkielcreations.fr</t>
  </si>
  <si>
    <t>annagumbau.com</t>
  </si>
  <si>
    <t>preciouscarehomehealthcare.com</t>
  </si>
  <si>
    <t>painrelief.com.sg</t>
  </si>
  <si>
    <t>The Pain Relief Clinic</t>
  </si>
  <si>
    <t>facebook.com/thepainreliefclinicsingapore</t>
  </si>
  <si>
    <t>Singapore</t>
  </si>
  <si>
    <t>SG</t>
  </si>
  <si>
    <t>castleweddingvenues.com</t>
  </si>
  <si>
    <t>portcitywoman.com</t>
  </si>
  <si>
    <t>Hobbies And Interests</t>
  </si>
  <si>
    <t>instagram.com/portcitywoman</t>
  </si>
  <si>
    <t>propertymanagerwhitinsvillema.com</t>
  </si>
  <si>
    <t>Whitinsville</t>
  </si>
  <si>
    <t>getinsurance-quotes.com</t>
  </si>
  <si>
    <t>showmeinsurancequotes.com</t>
  </si>
  <si>
    <t>bb-glasgumaxshop.sumupstore.com</t>
  </si>
  <si>
    <t>leeuwardenmarkt.nl</t>
  </si>
  <si>
    <t>Neem contact met ons op</t>
  </si>
  <si>
    <t>fswit.co.uk</t>
  </si>
  <si>
    <t>FSW IT Solutions Ltd</t>
  </si>
  <si>
    <t>Greater London</t>
  </si>
  <si>
    <t>SW9</t>
  </si>
  <si>
    <t>wachs96.com</t>
  </si>
  <si>
    <t>locapal.store</t>
  </si>
  <si>
    <t>caoojene.com</t>
  </si>
  <si>
    <t>cosmicdivinelife.store</t>
  </si>
  <si>
    <t>commercialhostwebmail.com</t>
  </si>
  <si>
    <t>alltreeconsultants.com</t>
  </si>
  <si>
    <t>server24.eu</t>
  </si>
  <si>
    <t>3,139</t>
  </si>
  <si>
    <t>Server24 EU VAT No</t>
  </si>
  <si>
    <t>info@server24.eu
support@server24.eu
privacy@server24.eu</t>
  </si>
  <si>
    <t>twitter.com/server24</t>
  </si>
  <si>
    <t>facebook.com/server24</t>
  </si>
  <si>
    <t>Amsterdam</t>
  </si>
  <si>
    <t>NL</t>
  </si>
  <si>
    <t>GDPR NL</t>
  </si>
  <si>
    <t>soliskenkelljs.com</t>
  </si>
  <si>
    <t>iwatadreams.com</t>
  </si>
  <si>
    <t>anavalverde.com</t>
  </si>
  <si>
    <t>usdonutsandcroissants.com</t>
  </si>
  <si>
    <t>lenosout.shop</t>
  </si>
  <si>
    <t>stagedomaintest.org</t>
  </si>
  <si>
    <t>lamiaclinica.online</t>
  </si>
  <si>
    <t>La Mia Clinica</t>
  </si>
  <si>
    <t>info@lamiaclinica.online</t>
  </si>
  <si>
    <t>jollylegs.com</t>
  </si>
  <si>
    <t>jenbuildsmerch.com</t>
  </si>
  <si>
    <t>themasterphone.com</t>
  </si>
  <si>
    <t>Compliance Notice: PII is removed for EU/CCPA. Visit https://builtwith.com/compliance for options and more information. Do Not Contact entries are self removed from BuiltWith. Please see https://builtwith.com/terms - you cannot use this list to bulk send emails. AU Customers cannot access harvested emails by law.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</si>
</sst>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yyyy-mm-dd"/>
  </numFmts>
  <fonts count="7">
    <font>
      <sz val="11.0"/>
      <color rgb="FF000000"/>
      <name val="Aptos Narrow"/>
      <scheme val="minor"/>
    </font>
    <font>
      <b/>
      <sz val="10.0"/>
      <color rgb="FFFFFFFF"/>
      <name val="Quattrocento Sans"/>
    </font>
    <font>
      <b/>
      <sz val="10.0"/>
      <color rgb="FF000000"/>
      <name val="Quattrocento Sans"/>
    </font>
    <font>
      <b/>
      <sz val="10.0"/>
      <color theme="1"/>
      <name val="Quattrocento Sans"/>
    </font>
    <font>
      <sz val="10.0"/>
      <color theme="1"/>
      <name val="Quattrocento Sans"/>
    </font>
    <font>
      <u/>
      <sz val="10.0"/>
      <color rgb="FF0000FF"/>
      <name val="Quattrocento Sans"/>
    </font>
    <font>
      <sz val="10.0"/>
      <color rgb="FFFFFFFF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94303"/>
        <bgColor rgb="FF094303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/>
    </xf>
    <xf borderId="0" fillId="2" fontId="2" numFmtId="0" xfId="0" applyFont="1"/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165" xfId="0" applyAlignment="1" applyFont="1" applyNumberFormat="1">
      <alignment vertical="top"/>
    </xf>
    <xf borderId="0" fillId="0" fontId="4" numFmtId="3" xfId="0" applyAlignment="1" applyFont="1" applyNumberFormat="1">
      <alignment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1" fillId="4" fontId="1" numFmtId="0" xfId="0" applyAlignment="1" applyBorder="1" applyFill="1" applyFont="1">
      <alignment vertical="top"/>
    </xf>
    <xf borderId="1" fillId="4" fontId="6" numFmtId="0" xfId="0" applyAlignment="1" applyBorder="1" applyFont="1">
      <alignment vertical="top"/>
    </xf>
    <xf borderId="1" fillId="4" fontId="6" numFmtId="164" xfId="0" applyAlignment="1" applyBorder="1" applyFont="1" applyNumberFormat="1">
      <alignment vertical="top"/>
    </xf>
    <xf borderId="1" fillId="4" fontId="6" numFmtId="165" xfId="0" applyAlignment="1" applyBorder="1" applyFont="1" applyNumberFormat="1">
      <alignment vertical="top"/>
    </xf>
    <xf borderId="1" fillId="4" fontId="6" numFmtId="3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mar Elshinawy" id="{2b73e61e-7b02-4c0f-b466-551a3fb3b4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" dT="2026-03-22T01:33:22.00" personId="{2b73e61e-7b02-4c0f-b466-551a3fb3b4c2}" id="{540bb061-5875-4a40-9b71-848dc51cb563}" done="0">
    <x18tc:text xml:space="preserve">18 multivalue cells!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tatic.hyundaidrive.com/*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5" width="20.0"/>
    <col customWidth="1" min="6" max="6" width="12.0"/>
    <col customWidth="1" min="7" max="7" width="15.0"/>
    <col customWidth="1" min="8" max="9" width="20.0"/>
    <col customWidth="1" min="10" max="13" width="15.0"/>
    <col customWidth="1" min="14" max="38" width="20.0"/>
    <col customWidth="1" min="39" max="39" width="15.0"/>
    <col customWidth="1" min="40" max="46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>
        <f>SUM(O3:O103)</f>
        <v>84</v>
      </c>
      <c r="P1" s="3">
        <f>COUNTIF(P2:P103, "Yes")</f>
        <v>18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  <c r="P2" s="5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</row>
    <row r="3">
      <c r="A3" s="6" t="s">
        <v>46</v>
      </c>
      <c r="B3" s="7" t="s">
        <v>47</v>
      </c>
      <c r="C3" s="7" t="s">
        <v>46</v>
      </c>
      <c r="D3" s="8">
        <v>1736.0</v>
      </c>
      <c r="E3" s="8" t="s">
        <v>48</v>
      </c>
      <c r="F3" s="9" t="s">
        <v>49</v>
      </c>
      <c r="G3" s="10"/>
      <c r="H3" s="7" t="s">
        <v>50</v>
      </c>
      <c r="I3" s="7" t="s">
        <v>51</v>
      </c>
      <c r="J3" s="10"/>
      <c r="K3" s="10"/>
      <c r="L3" s="10"/>
      <c r="M3" s="10">
        <v>1.2800325E7</v>
      </c>
      <c r="N3" s="7">
        <v>3.58400802709E11</v>
      </c>
      <c r="O3" s="11">
        <f t="shared" ref="O3:O32" si="1">IF(N3="", 0, LEN(N3)-LEN(SUBSTITUTE(N3,CHAR(10),""))+1)</f>
        <v>1</v>
      </c>
      <c r="P3" s="7" t="str">
        <f t="shared" ref="P3:P102" si="2">IF(O3&gt;1, "Yes", "No")</f>
        <v>No</v>
      </c>
      <c r="Q3" s="7" t="s">
        <v>52</v>
      </c>
      <c r="R3" s="7"/>
      <c r="S3" s="7" t="s">
        <v>53</v>
      </c>
      <c r="T3" s="7"/>
      <c r="U3" s="7"/>
      <c r="V3" s="7"/>
      <c r="W3" s="7"/>
      <c r="X3" s="7" t="s">
        <v>54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 t="s">
        <v>55</v>
      </c>
      <c r="AL3" s="7">
        <v>12.0</v>
      </c>
      <c r="AM3" s="10">
        <v>83960.0</v>
      </c>
      <c r="AN3" s="7" t="s">
        <v>56</v>
      </c>
      <c r="AO3" s="7">
        <v>45151.0</v>
      </c>
      <c r="AP3" s="7">
        <v>45928.0</v>
      </c>
      <c r="AQ3" s="7">
        <v>39055.0</v>
      </c>
      <c r="AR3" s="7">
        <v>46096.0</v>
      </c>
      <c r="AS3" s="7"/>
      <c r="AT3" s="7" t="s">
        <v>57</v>
      </c>
    </row>
    <row r="4">
      <c r="A4" s="6" t="s">
        <v>58</v>
      </c>
      <c r="B4" s="7" t="s">
        <v>58</v>
      </c>
      <c r="C4" s="7" t="s">
        <v>58</v>
      </c>
      <c r="D4" s="8">
        <v>1234.0</v>
      </c>
      <c r="E4" s="8" t="s">
        <v>48</v>
      </c>
      <c r="F4" s="9"/>
      <c r="G4" s="10"/>
      <c r="H4" s="7"/>
      <c r="I4" s="7" t="s">
        <v>59</v>
      </c>
      <c r="J4" s="10"/>
      <c r="K4" s="10"/>
      <c r="L4" s="10"/>
      <c r="M4" s="10">
        <v>8.4737637E7</v>
      </c>
      <c r="N4" s="7" t="s">
        <v>60</v>
      </c>
      <c r="O4" s="11">
        <f t="shared" si="1"/>
        <v>1</v>
      </c>
      <c r="P4" s="7" t="str">
        <f t="shared" si="2"/>
        <v>No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 t="s">
        <v>61</v>
      </c>
      <c r="AL4" s="7" t="s">
        <v>62</v>
      </c>
      <c r="AM4" s="10">
        <v>98178.0</v>
      </c>
      <c r="AN4" s="7" t="s">
        <v>63</v>
      </c>
      <c r="AO4" s="7">
        <v>45019.0</v>
      </c>
      <c r="AP4" s="7">
        <v>46073.0</v>
      </c>
      <c r="AQ4" s="7">
        <v>44651.0</v>
      </c>
      <c r="AR4" s="7">
        <v>46112.0</v>
      </c>
      <c r="AS4" s="7"/>
      <c r="AT4" s="7"/>
    </row>
    <row r="5" ht="30.0" customHeight="1">
      <c r="A5" s="6" t="s">
        <v>64</v>
      </c>
      <c r="B5" s="7" t="s">
        <v>64</v>
      </c>
      <c r="C5" s="7" t="s">
        <v>64</v>
      </c>
      <c r="D5" s="8">
        <v>4500.0</v>
      </c>
      <c r="E5" s="8">
        <v>1000000.0</v>
      </c>
      <c r="F5" s="9" t="s">
        <v>65</v>
      </c>
      <c r="G5" s="10">
        <v>5.0</v>
      </c>
      <c r="H5" s="7" t="s">
        <v>66</v>
      </c>
      <c r="I5" s="7" t="s">
        <v>67</v>
      </c>
      <c r="J5" s="10"/>
      <c r="K5" s="10"/>
      <c r="L5" s="10">
        <v>970658.0</v>
      </c>
      <c r="M5" s="10">
        <v>675443.0</v>
      </c>
      <c r="N5" s="12" t="s">
        <v>68</v>
      </c>
      <c r="O5" s="11">
        <f t="shared" si="1"/>
        <v>2</v>
      </c>
      <c r="P5" s="7" t="str">
        <f t="shared" si="2"/>
        <v>Yes</v>
      </c>
      <c r="Q5" s="12" t="s">
        <v>69</v>
      </c>
      <c r="R5" s="7" t="s">
        <v>70</v>
      </c>
      <c r="S5" s="7" t="s">
        <v>71</v>
      </c>
      <c r="T5" s="7" t="s">
        <v>72</v>
      </c>
      <c r="U5" s="7"/>
      <c r="V5" s="7" t="s">
        <v>73</v>
      </c>
      <c r="W5" s="7"/>
      <c r="X5" s="7" t="s">
        <v>74</v>
      </c>
      <c r="Y5" s="7"/>
      <c r="Z5" s="7"/>
      <c r="AA5" s="7"/>
      <c r="AB5" s="7"/>
      <c r="AC5" s="7"/>
      <c r="AD5" s="7" t="s">
        <v>75</v>
      </c>
      <c r="AE5" s="7"/>
      <c r="AF5" s="7"/>
      <c r="AG5" s="7"/>
      <c r="AH5" s="7"/>
      <c r="AI5" s="7"/>
      <c r="AJ5" s="12" t="s">
        <v>76</v>
      </c>
      <c r="AK5" s="7"/>
      <c r="AL5" s="7" t="s">
        <v>77</v>
      </c>
      <c r="AM5" s="10">
        <v>4092.0</v>
      </c>
      <c r="AN5" s="7" t="s">
        <v>63</v>
      </c>
      <c r="AO5" s="7">
        <v>45428.0</v>
      </c>
      <c r="AP5" s="7">
        <v>46063.0</v>
      </c>
      <c r="AQ5" s="7">
        <v>40093.0</v>
      </c>
      <c r="AR5" s="7">
        <v>46096.0</v>
      </c>
      <c r="AS5" s="7"/>
      <c r="AT5" s="7"/>
    </row>
    <row r="6">
      <c r="A6" s="6" t="s">
        <v>78</v>
      </c>
      <c r="B6" s="7" t="s">
        <v>78</v>
      </c>
      <c r="C6" s="7" t="s">
        <v>78</v>
      </c>
      <c r="D6" s="8">
        <v>2914.0</v>
      </c>
      <c r="E6" s="8" t="s">
        <v>48</v>
      </c>
      <c r="F6" s="9">
        <v>60.0</v>
      </c>
      <c r="G6" s="10"/>
      <c r="H6" s="7" t="s">
        <v>79</v>
      </c>
      <c r="I6" s="7" t="s">
        <v>80</v>
      </c>
      <c r="J6" s="10"/>
      <c r="K6" s="10"/>
      <c r="L6" s="10"/>
      <c r="M6" s="10">
        <v>2.3788601E7</v>
      </c>
      <c r="N6" s="12" t="s">
        <v>81</v>
      </c>
      <c r="O6" s="11">
        <f t="shared" si="1"/>
        <v>7</v>
      </c>
      <c r="P6" s="7" t="str">
        <f t="shared" si="2"/>
        <v>Yes</v>
      </c>
      <c r="Q6" s="7"/>
      <c r="R6" s="7" t="s">
        <v>82</v>
      </c>
      <c r="S6" s="7" t="s">
        <v>83</v>
      </c>
      <c r="T6" s="7"/>
      <c r="U6" s="7"/>
      <c r="V6" s="7"/>
      <c r="W6" s="7"/>
      <c r="X6" s="7" t="s">
        <v>84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 t="s">
        <v>85</v>
      </c>
      <c r="AK6" s="7" t="s">
        <v>86</v>
      </c>
      <c r="AL6" s="7" t="s">
        <v>87</v>
      </c>
      <c r="AM6" s="10">
        <v>75104.0</v>
      </c>
      <c r="AN6" s="7" t="s">
        <v>63</v>
      </c>
      <c r="AO6" s="7">
        <v>45041.0</v>
      </c>
      <c r="AP6" s="7">
        <v>46096.0</v>
      </c>
      <c r="AQ6" s="7">
        <v>41385.0</v>
      </c>
      <c r="AR6" s="7">
        <v>46096.0</v>
      </c>
      <c r="AS6" s="7"/>
      <c r="AT6" s="7"/>
    </row>
    <row r="7">
      <c r="A7" s="6" t="s">
        <v>88</v>
      </c>
      <c r="B7" s="7" t="s">
        <v>88</v>
      </c>
      <c r="C7" s="7" t="s">
        <v>88</v>
      </c>
      <c r="D7" s="8">
        <v>0.0</v>
      </c>
      <c r="E7" s="8" t="s">
        <v>48</v>
      </c>
      <c r="F7" s="9">
        <v>96.0</v>
      </c>
      <c r="G7" s="10"/>
      <c r="H7" s="7"/>
      <c r="I7" s="7" t="s">
        <v>89</v>
      </c>
      <c r="J7" s="10"/>
      <c r="K7" s="10"/>
      <c r="L7" s="10"/>
      <c r="M7" s="10">
        <v>1.0278292E7</v>
      </c>
      <c r="N7" s="12" t="s">
        <v>90</v>
      </c>
      <c r="O7" s="11">
        <f t="shared" si="1"/>
        <v>4</v>
      </c>
      <c r="P7" s="7" t="str">
        <f t="shared" si="2"/>
        <v>Yes</v>
      </c>
      <c r="Q7" s="12" t="s">
        <v>91</v>
      </c>
      <c r="R7" s="7" t="s">
        <v>92</v>
      </c>
      <c r="S7" s="7"/>
      <c r="T7" s="7"/>
      <c r="U7" s="7"/>
      <c r="V7" s="7"/>
      <c r="W7" s="7"/>
      <c r="X7" s="7"/>
      <c r="Y7" s="7"/>
      <c r="Z7" s="7"/>
      <c r="AA7" s="7" t="s">
        <v>93</v>
      </c>
      <c r="AB7" s="7"/>
      <c r="AC7" s="7"/>
      <c r="AD7" s="7"/>
      <c r="AE7" s="7"/>
      <c r="AF7" s="7"/>
      <c r="AG7" s="7"/>
      <c r="AH7" s="7"/>
      <c r="AI7" s="7"/>
      <c r="AJ7" s="12" t="s">
        <v>94</v>
      </c>
      <c r="AK7" s="7" t="s">
        <v>95</v>
      </c>
      <c r="AL7" s="7" t="s">
        <v>96</v>
      </c>
      <c r="AM7" s="10">
        <v>60123.0</v>
      </c>
      <c r="AN7" s="7" t="s">
        <v>63</v>
      </c>
      <c r="AO7" s="7">
        <v>45234.0</v>
      </c>
      <c r="AP7" s="7">
        <v>46073.0</v>
      </c>
      <c r="AQ7" s="7">
        <v>40581.0</v>
      </c>
      <c r="AR7" s="7">
        <v>46090.0</v>
      </c>
      <c r="AS7" s="7"/>
      <c r="AT7" s="7"/>
    </row>
    <row r="8">
      <c r="A8" s="6" t="s">
        <v>97</v>
      </c>
      <c r="B8" s="7" t="s">
        <v>97</v>
      </c>
      <c r="C8" s="7" t="s">
        <v>97</v>
      </c>
      <c r="D8" s="8">
        <v>12267.0</v>
      </c>
      <c r="E8" s="8" t="s">
        <v>48</v>
      </c>
      <c r="F8" s="9"/>
      <c r="G8" s="10"/>
      <c r="H8" s="7"/>
      <c r="I8" s="7" t="s">
        <v>89</v>
      </c>
      <c r="J8" s="10"/>
      <c r="K8" s="10"/>
      <c r="L8" s="10"/>
      <c r="M8" s="10">
        <v>4.4882972E7</v>
      </c>
      <c r="N8" s="12" t="s">
        <v>98</v>
      </c>
      <c r="O8" s="11">
        <f t="shared" si="1"/>
        <v>2</v>
      </c>
      <c r="P8" s="7" t="str">
        <f t="shared" si="2"/>
        <v>Yes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 t="s">
        <v>99</v>
      </c>
      <c r="AL8" s="7" t="s">
        <v>100</v>
      </c>
      <c r="AM8" s="10">
        <v>21704.0</v>
      </c>
      <c r="AN8" s="7" t="s">
        <v>63</v>
      </c>
      <c r="AO8" s="7">
        <v>42185.0</v>
      </c>
      <c r="AP8" s="7">
        <v>46096.0</v>
      </c>
      <c r="AQ8" s="7">
        <v>39686.0</v>
      </c>
      <c r="AR8" s="7">
        <v>46260.0</v>
      </c>
      <c r="AS8" s="7"/>
      <c r="AT8" s="7"/>
    </row>
    <row r="9">
      <c r="A9" s="6" t="s">
        <v>101</v>
      </c>
      <c r="B9" s="7" t="s">
        <v>101</v>
      </c>
      <c r="C9" s="7" t="s">
        <v>101</v>
      </c>
      <c r="D9" s="8">
        <v>22337.0</v>
      </c>
      <c r="E9" s="8" t="s">
        <v>48</v>
      </c>
      <c r="F9" s="9"/>
      <c r="G9" s="10">
        <v>34.0</v>
      </c>
      <c r="H9" s="7"/>
      <c r="I9" s="7" t="s">
        <v>89</v>
      </c>
      <c r="J9" s="10"/>
      <c r="K9" s="10"/>
      <c r="L9" s="10"/>
      <c r="M9" s="10">
        <v>1.9489627E7</v>
      </c>
      <c r="N9" s="12" t="s">
        <v>102</v>
      </c>
      <c r="O9" s="11">
        <f t="shared" si="1"/>
        <v>4</v>
      </c>
      <c r="P9" s="7" t="str">
        <f t="shared" si="2"/>
        <v>Yes</v>
      </c>
      <c r="Q9" s="7"/>
      <c r="R9" s="7" t="s">
        <v>103</v>
      </c>
      <c r="S9" s="7" t="s">
        <v>104</v>
      </c>
      <c r="T9" s="7"/>
      <c r="U9" s="7"/>
      <c r="V9" s="7" t="s">
        <v>105</v>
      </c>
      <c r="W9" s="7"/>
      <c r="X9" s="7" t="s">
        <v>106</v>
      </c>
      <c r="Y9" s="7"/>
      <c r="Z9" s="7"/>
      <c r="AA9" s="7" t="s">
        <v>107</v>
      </c>
      <c r="AB9" s="7"/>
      <c r="AC9" s="7"/>
      <c r="AD9" s="7"/>
      <c r="AE9" s="7"/>
      <c r="AF9" s="7"/>
      <c r="AG9" s="7"/>
      <c r="AH9" s="7"/>
      <c r="AI9" s="7"/>
      <c r="AJ9" s="12" t="s">
        <v>108</v>
      </c>
      <c r="AK9" s="7" t="s">
        <v>109</v>
      </c>
      <c r="AL9" s="7" t="s">
        <v>110</v>
      </c>
      <c r="AM9" s="10">
        <v>80011.0</v>
      </c>
      <c r="AN9" s="7" t="s">
        <v>63</v>
      </c>
      <c r="AO9" s="7">
        <v>42231.0</v>
      </c>
      <c r="AP9" s="7">
        <v>46063.0</v>
      </c>
      <c r="AQ9" s="7">
        <v>38071.0</v>
      </c>
      <c r="AR9" s="7">
        <v>47202.0</v>
      </c>
      <c r="AS9" s="7"/>
      <c r="AT9" s="7"/>
    </row>
    <row r="10" ht="105.0" customHeight="1">
      <c r="A10" s="6" t="s">
        <v>111</v>
      </c>
      <c r="B10" s="7" t="s">
        <v>111</v>
      </c>
      <c r="C10" s="7" t="s">
        <v>111</v>
      </c>
      <c r="D10" s="8">
        <v>1234.0</v>
      </c>
      <c r="E10" s="8" t="s">
        <v>48</v>
      </c>
      <c r="F10" s="9"/>
      <c r="G10" s="10"/>
      <c r="H10" s="7"/>
      <c r="I10" s="7" t="s">
        <v>59</v>
      </c>
      <c r="J10" s="10"/>
      <c r="K10" s="10"/>
      <c r="L10" s="10"/>
      <c r="M10" s="10"/>
      <c r="N10" s="12" t="s">
        <v>112</v>
      </c>
      <c r="O10" s="11">
        <f t="shared" si="1"/>
        <v>2</v>
      </c>
      <c r="P10" s="7" t="str">
        <f t="shared" si="2"/>
        <v>Yes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 t="s">
        <v>113</v>
      </c>
      <c r="AL10" s="7" t="s">
        <v>114</v>
      </c>
      <c r="AM10" s="10">
        <v>33179.0</v>
      </c>
      <c r="AN10" s="7" t="s">
        <v>63</v>
      </c>
      <c r="AO10" s="7">
        <v>45062.0</v>
      </c>
      <c r="AP10" s="7">
        <v>46073.0</v>
      </c>
      <c r="AQ10" s="7">
        <v>45040.0</v>
      </c>
      <c r="AR10" s="7">
        <v>46073.0</v>
      </c>
      <c r="AS10" s="7"/>
      <c r="AT10" s="7"/>
    </row>
    <row r="11">
      <c r="A11" s="6" t="s">
        <v>115</v>
      </c>
      <c r="B11" s="7" t="s">
        <v>115</v>
      </c>
      <c r="C11" s="7" t="s">
        <v>115</v>
      </c>
      <c r="D11" s="8">
        <v>4505.0</v>
      </c>
      <c r="E11" s="8">
        <v>102749.0</v>
      </c>
      <c r="F11" s="9"/>
      <c r="G11" s="10"/>
      <c r="H11" s="7"/>
      <c r="I11" s="7" t="s">
        <v>116</v>
      </c>
      <c r="J11" s="10"/>
      <c r="K11" s="10"/>
      <c r="L11" s="10"/>
      <c r="M11" s="10">
        <v>3.3386538E7</v>
      </c>
      <c r="N11" s="7" t="s">
        <v>117</v>
      </c>
      <c r="O11" s="11">
        <f t="shared" si="1"/>
        <v>1</v>
      </c>
      <c r="P11" s="7" t="str">
        <f t="shared" si="2"/>
        <v>No</v>
      </c>
      <c r="Q11" s="7" t="s">
        <v>118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 t="s">
        <v>119</v>
      </c>
      <c r="AK11" s="7" t="s">
        <v>120</v>
      </c>
      <c r="AL11" s="7" t="s">
        <v>121</v>
      </c>
      <c r="AM11" s="10">
        <v>10001.0</v>
      </c>
      <c r="AN11" s="7" t="s">
        <v>63</v>
      </c>
      <c r="AO11" s="7">
        <v>43661.0</v>
      </c>
      <c r="AP11" s="7">
        <v>46096.0</v>
      </c>
      <c r="AQ11" s="7">
        <v>39850.0</v>
      </c>
      <c r="AR11" s="7">
        <v>46096.0</v>
      </c>
      <c r="AS11" s="7"/>
      <c r="AT11" s="7"/>
    </row>
    <row r="12" ht="60.0" customHeight="1">
      <c r="A12" s="6" t="s">
        <v>122</v>
      </c>
      <c r="B12" s="7" t="s">
        <v>123</v>
      </c>
      <c r="C12" s="7" t="s">
        <v>122</v>
      </c>
      <c r="D12" s="8">
        <v>897.0</v>
      </c>
      <c r="E12" s="8" t="s">
        <v>48</v>
      </c>
      <c r="F12" s="9"/>
      <c r="G12" s="10"/>
      <c r="H12" s="7" t="s">
        <v>124</v>
      </c>
      <c r="I12" s="7" t="s">
        <v>80</v>
      </c>
      <c r="J12" s="10"/>
      <c r="K12" s="10"/>
      <c r="L12" s="10"/>
      <c r="M12" s="10">
        <v>4.2891879E7</v>
      </c>
      <c r="N12" s="7" t="s">
        <v>125</v>
      </c>
      <c r="O12" s="11">
        <f t="shared" si="1"/>
        <v>1</v>
      </c>
      <c r="P12" s="7" t="str">
        <f t="shared" si="2"/>
        <v>No</v>
      </c>
      <c r="Q12" s="7"/>
      <c r="R12" s="7"/>
      <c r="S12" s="7" t="s">
        <v>126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 t="s">
        <v>127</v>
      </c>
      <c r="AL12" s="7" t="s">
        <v>128</v>
      </c>
      <c r="AM12" s="10">
        <v>90501.0</v>
      </c>
      <c r="AN12" s="7" t="s">
        <v>63</v>
      </c>
      <c r="AO12" s="7">
        <v>43966.0</v>
      </c>
      <c r="AP12" s="7">
        <v>46095.0</v>
      </c>
      <c r="AQ12" s="7">
        <v>38325.0</v>
      </c>
      <c r="AR12" s="7">
        <v>46101.0</v>
      </c>
      <c r="AS12" s="7"/>
      <c r="AT12" s="7" t="s">
        <v>129</v>
      </c>
    </row>
    <row r="13">
      <c r="A13" s="6" t="s">
        <v>130</v>
      </c>
      <c r="B13" s="7" t="s">
        <v>130</v>
      </c>
      <c r="C13" s="7" t="s">
        <v>130</v>
      </c>
      <c r="D13" s="8">
        <v>0.0</v>
      </c>
      <c r="E13" s="8">
        <v>102749.0</v>
      </c>
      <c r="F13" s="9"/>
      <c r="G13" s="10"/>
      <c r="H13" s="7" t="s">
        <v>131</v>
      </c>
      <c r="I13" s="7" t="s">
        <v>132</v>
      </c>
      <c r="J13" s="10"/>
      <c r="K13" s="10"/>
      <c r="L13" s="10"/>
      <c r="M13" s="10">
        <v>8.7807559E7</v>
      </c>
      <c r="N13" s="7" t="s">
        <v>133</v>
      </c>
      <c r="O13" s="11">
        <f t="shared" si="1"/>
        <v>1</v>
      </c>
      <c r="P13" s="7" t="str">
        <f t="shared" si="2"/>
        <v>No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10"/>
      <c r="AN13" s="7" t="s">
        <v>134</v>
      </c>
      <c r="AO13" s="7">
        <v>43661.0</v>
      </c>
      <c r="AP13" s="7">
        <v>45934.0</v>
      </c>
      <c r="AQ13" s="7">
        <v>43094.0</v>
      </c>
      <c r="AR13" s="7">
        <v>46073.0</v>
      </c>
      <c r="AS13" s="7"/>
      <c r="AT13" s="7" t="s">
        <v>129</v>
      </c>
    </row>
    <row r="14">
      <c r="A14" s="6" t="s">
        <v>135</v>
      </c>
      <c r="B14" s="7" t="s">
        <v>135</v>
      </c>
      <c r="C14" s="7" t="s">
        <v>135</v>
      </c>
      <c r="D14" s="8">
        <v>3852.0</v>
      </c>
      <c r="E14" s="8" t="s">
        <v>48</v>
      </c>
      <c r="F14" s="9">
        <v>664.0</v>
      </c>
      <c r="G14" s="10">
        <v>109.0</v>
      </c>
      <c r="H14" s="7" t="s">
        <v>136</v>
      </c>
      <c r="I14" s="7" t="s">
        <v>67</v>
      </c>
      <c r="J14" s="10"/>
      <c r="K14" s="10"/>
      <c r="L14" s="10"/>
      <c r="M14" s="10">
        <v>9495544.0</v>
      </c>
      <c r="N14" s="7" t="s">
        <v>137</v>
      </c>
      <c r="O14" s="11">
        <f t="shared" si="1"/>
        <v>1</v>
      </c>
      <c r="P14" s="7" t="str">
        <f t="shared" si="2"/>
        <v>No</v>
      </c>
      <c r="Q14" s="7"/>
      <c r="R14" s="7" t="s">
        <v>138</v>
      </c>
      <c r="S14" s="7" t="s">
        <v>139</v>
      </c>
      <c r="T14" s="7"/>
      <c r="U14" s="7"/>
      <c r="V14" s="7"/>
      <c r="W14" s="7"/>
      <c r="X14" s="7"/>
      <c r="Y14" s="7"/>
      <c r="Z14" s="7"/>
      <c r="AA14" s="7" t="s">
        <v>140</v>
      </c>
      <c r="AB14" s="7"/>
      <c r="AC14" s="7"/>
      <c r="AD14" s="7"/>
      <c r="AE14" s="7"/>
      <c r="AF14" s="7"/>
      <c r="AG14" s="7"/>
      <c r="AH14" s="7"/>
      <c r="AI14" s="7"/>
      <c r="AJ14" s="7" t="s">
        <v>141</v>
      </c>
      <c r="AK14" s="7" t="s">
        <v>142</v>
      </c>
      <c r="AL14" s="7" t="s">
        <v>143</v>
      </c>
      <c r="AM14" s="10">
        <v>67214.0</v>
      </c>
      <c r="AN14" s="7" t="s">
        <v>63</v>
      </c>
      <c r="AO14" s="7">
        <v>45113.0</v>
      </c>
      <c r="AP14" s="7">
        <v>46096.0</v>
      </c>
      <c r="AQ14" s="7">
        <v>38145.0</v>
      </c>
      <c r="AR14" s="7">
        <v>46096.0</v>
      </c>
      <c r="AS14" s="7"/>
      <c r="AT14" s="7"/>
    </row>
    <row r="15">
      <c r="A15" s="6" t="s">
        <v>144</v>
      </c>
      <c r="B15" s="7" t="s">
        <v>144</v>
      </c>
      <c r="C15" s="7" t="s">
        <v>144</v>
      </c>
      <c r="D15" s="8">
        <v>13594.0</v>
      </c>
      <c r="E15" s="8" t="s">
        <v>48</v>
      </c>
      <c r="F15" s="9"/>
      <c r="G15" s="10">
        <v>25.0</v>
      </c>
      <c r="H15" s="7" t="s">
        <v>145</v>
      </c>
      <c r="I15" s="7" t="s">
        <v>89</v>
      </c>
      <c r="J15" s="10"/>
      <c r="K15" s="10"/>
      <c r="L15" s="10"/>
      <c r="M15" s="10">
        <v>1.1135934E7</v>
      </c>
      <c r="N15" s="12" t="s">
        <v>146</v>
      </c>
      <c r="O15" s="11">
        <f t="shared" si="1"/>
        <v>7</v>
      </c>
      <c r="P15" s="7" t="str">
        <f t="shared" si="2"/>
        <v>Yes</v>
      </c>
      <c r="Q15" s="7"/>
      <c r="R15" s="7"/>
      <c r="S15" s="7" t="s">
        <v>147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 t="s">
        <v>148</v>
      </c>
      <c r="AL15" s="7" t="s">
        <v>100</v>
      </c>
      <c r="AM15" s="10">
        <v>21228.0</v>
      </c>
      <c r="AN15" s="7" t="s">
        <v>63</v>
      </c>
      <c r="AO15" s="7">
        <v>45233.0</v>
      </c>
      <c r="AP15" s="7">
        <v>46102.0</v>
      </c>
      <c r="AQ15" s="7">
        <v>41683.0</v>
      </c>
      <c r="AR15" s="7">
        <v>46102.0</v>
      </c>
      <c r="AS15" s="7"/>
      <c r="AT15" s="7"/>
    </row>
    <row r="16">
      <c r="A16" s="6" t="s">
        <v>149</v>
      </c>
      <c r="B16" s="7" t="s">
        <v>149</v>
      </c>
      <c r="C16" s="7" t="s">
        <v>149</v>
      </c>
      <c r="D16" s="8">
        <v>10604.0</v>
      </c>
      <c r="E16" s="8" t="s">
        <v>48</v>
      </c>
      <c r="F16" s="9"/>
      <c r="G16" s="10"/>
      <c r="H16" s="7" t="s">
        <v>150</v>
      </c>
      <c r="I16" s="7" t="s">
        <v>80</v>
      </c>
      <c r="J16" s="10"/>
      <c r="K16" s="10"/>
      <c r="L16" s="10"/>
      <c r="M16" s="10">
        <v>5.7792001E7</v>
      </c>
      <c r="N16" s="12" t="s">
        <v>151</v>
      </c>
      <c r="O16" s="11">
        <f t="shared" si="1"/>
        <v>3</v>
      </c>
      <c r="P16" s="7" t="str">
        <f t="shared" si="2"/>
        <v>Yes</v>
      </c>
      <c r="Q16" s="7"/>
      <c r="R16" s="7"/>
      <c r="S16" s="7" t="s">
        <v>152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 t="s">
        <v>153</v>
      </c>
      <c r="AL16" s="7" t="s">
        <v>154</v>
      </c>
      <c r="AM16" s="10">
        <v>85701.0</v>
      </c>
      <c r="AN16" s="7" t="s">
        <v>63</v>
      </c>
      <c r="AO16" s="7">
        <v>42739.0</v>
      </c>
      <c r="AP16" s="7">
        <v>46096.0</v>
      </c>
      <c r="AQ16" s="7">
        <v>42159.0</v>
      </c>
      <c r="AR16" s="7">
        <v>46177.0</v>
      </c>
      <c r="AS16" s="7"/>
      <c r="AT16" s="7"/>
    </row>
    <row r="17">
      <c r="A17" s="6" t="s">
        <v>155</v>
      </c>
      <c r="B17" s="7" t="s">
        <v>155</v>
      </c>
      <c r="C17" s="7" t="s">
        <v>155</v>
      </c>
      <c r="D17" s="8">
        <v>0.0</v>
      </c>
      <c r="E17" s="8" t="s">
        <v>48</v>
      </c>
      <c r="F17" s="9">
        <v>616.0</v>
      </c>
      <c r="G17" s="10"/>
      <c r="H17" s="7" t="s">
        <v>156</v>
      </c>
      <c r="I17" s="7" t="s">
        <v>157</v>
      </c>
      <c r="J17" s="10"/>
      <c r="K17" s="10"/>
      <c r="L17" s="10"/>
      <c r="M17" s="10">
        <v>1.6454965E7</v>
      </c>
      <c r="N17" s="7" t="s">
        <v>158</v>
      </c>
      <c r="O17" s="11">
        <f t="shared" si="1"/>
        <v>1</v>
      </c>
      <c r="P17" s="7" t="str">
        <f t="shared" si="2"/>
        <v>No</v>
      </c>
      <c r="Q17" s="7"/>
      <c r="R17" s="7"/>
      <c r="S17" s="7" t="s">
        <v>159</v>
      </c>
      <c r="T17" s="7"/>
      <c r="U17" s="7"/>
      <c r="V17" s="7"/>
      <c r="W17" s="7"/>
      <c r="X17" s="7" t="s">
        <v>160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 t="s">
        <v>161</v>
      </c>
      <c r="AL17" s="7" t="s">
        <v>114</v>
      </c>
      <c r="AM17" s="10">
        <v>33446.0</v>
      </c>
      <c r="AN17" s="7" t="s">
        <v>63</v>
      </c>
      <c r="AO17" s="7">
        <v>45888.0</v>
      </c>
      <c r="AP17" s="7">
        <v>46094.0</v>
      </c>
      <c r="AQ17" s="7">
        <v>43702.0</v>
      </c>
      <c r="AR17" s="7">
        <v>46094.0</v>
      </c>
      <c r="AS17" s="7"/>
      <c r="AT17" s="7"/>
    </row>
    <row r="18" ht="120.0" customHeight="1">
      <c r="A18" s="6" t="s">
        <v>162</v>
      </c>
      <c r="B18" s="7" t="s">
        <v>162</v>
      </c>
      <c r="C18" s="7" t="s">
        <v>162</v>
      </c>
      <c r="D18" s="8">
        <v>2044.0</v>
      </c>
      <c r="E18" s="8" t="s">
        <v>48</v>
      </c>
      <c r="F18" s="9"/>
      <c r="G18" s="10"/>
      <c r="H18" s="7" t="s">
        <v>163</v>
      </c>
      <c r="I18" s="7" t="s">
        <v>164</v>
      </c>
      <c r="J18" s="10"/>
      <c r="K18" s="10"/>
      <c r="L18" s="10"/>
      <c r="M18" s="10">
        <v>1.581207E7</v>
      </c>
      <c r="N18" s="12" t="s">
        <v>165</v>
      </c>
      <c r="O18" s="11">
        <f t="shared" si="1"/>
        <v>6</v>
      </c>
      <c r="P18" s="7" t="str">
        <f t="shared" si="2"/>
        <v>Yes</v>
      </c>
      <c r="Q18" s="12" t="s">
        <v>166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 t="s">
        <v>167</v>
      </c>
      <c r="AL18" s="7" t="s">
        <v>168</v>
      </c>
      <c r="AM18" s="10">
        <v>49505.0</v>
      </c>
      <c r="AN18" s="7" t="s">
        <v>63</v>
      </c>
      <c r="AO18" s="7">
        <v>44993.0</v>
      </c>
      <c r="AP18" s="7">
        <v>46096.0</v>
      </c>
      <c r="AQ18" s="7">
        <v>36584.0</v>
      </c>
      <c r="AR18" s="7">
        <v>46096.0</v>
      </c>
      <c r="AS18" s="7"/>
      <c r="AT18" s="7"/>
    </row>
    <row r="19">
      <c r="A19" s="6" t="s">
        <v>169</v>
      </c>
      <c r="B19" s="7" t="s">
        <v>169</v>
      </c>
      <c r="C19" s="7" t="s">
        <v>169</v>
      </c>
      <c r="D19" s="8">
        <v>11747.0</v>
      </c>
      <c r="E19" s="8" t="s">
        <v>48</v>
      </c>
      <c r="F19" s="9"/>
      <c r="G19" s="10"/>
      <c r="H19" s="7"/>
      <c r="I19" s="7" t="s">
        <v>89</v>
      </c>
      <c r="J19" s="10"/>
      <c r="K19" s="10"/>
      <c r="L19" s="10"/>
      <c r="M19" s="10">
        <v>1.0251058E7</v>
      </c>
      <c r="N19" s="7" t="s">
        <v>170</v>
      </c>
      <c r="O19" s="11">
        <f t="shared" si="1"/>
        <v>1</v>
      </c>
      <c r="P19" s="7" t="str">
        <f t="shared" si="2"/>
        <v>No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 t="s">
        <v>171</v>
      </c>
      <c r="AL19" s="7" t="s">
        <v>172</v>
      </c>
      <c r="AM19" s="10">
        <v>2155.0</v>
      </c>
      <c r="AN19" s="7" t="s">
        <v>63</v>
      </c>
      <c r="AO19" s="7">
        <v>45231.0</v>
      </c>
      <c r="AP19" s="7">
        <v>46097.0</v>
      </c>
      <c r="AQ19" s="7">
        <v>44183.0</v>
      </c>
      <c r="AR19" s="7">
        <v>47470.0</v>
      </c>
      <c r="AS19" s="7"/>
      <c r="AT19" s="7"/>
    </row>
    <row r="20">
      <c r="A20" s="6" t="s">
        <v>173</v>
      </c>
      <c r="B20" s="7" t="s">
        <v>173</v>
      </c>
      <c r="C20" s="7" t="s">
        <v>173</v>
      </c>
      <c r="D20" s="8">
        <v>13879.0</v>
      </c>
      <c r="E20" s="8" t="s">
        <v>48</v>
      </c>
      <c r="F20" s="9">
        <v>107.0</v>
      </c>
      <c r="G20" s="10"/>
      <c r="H20" s="7"/>
      <c r="I20" s="7" t="s">
        <v>89</v>
      </c>
      <c r="J20" s="10"/>
      <c r="K20" s="10"/>
      <c r="L20" s="10"/>
      <c r="M20" s="10">
        <v>2909141.0</v>
      </c>
      <c r="N20" s="12" t="s">
        <v>174</v>
      </c>
      <c r="O20" s="11">
        <f t="shared" si="1"/>
        <v>9</v>
      </c>
      <c r="P20" s="7" t="str">
        <f t="shared" si="2"/>
        <v>Yes</v>
      </c>
      <c r="Q20" s="7"/>
      <c r="R20" s="7" t="s">
        <v>175</v>
      </c>
      <c r="S20" s="7" t="s">
        <v>176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2" t="s">
        <v>177</v>
      </c>
      <c r="AK20" s="7" t="s">
        <v>178</v>
      </c>
      <c r="AL20" s="7" t="s">
        <v>96</v>
      </c>
      <c r="AM20" s="10">
        <v>62959.0</v>
      </c>
      <c r="AN20" s="7" t="s">
        <v>63</v>
      </c>
      <c r="AO20" s="7">
        <v>45230.0</v>
      </c>
      <c r="AP20" s="7">
        <v>46100.0</v>
      </c>
      <c r="AQ20" s="7">
        <v>42499.0</v>
      </c>
      <c r="AR20" s="7">
        <v>46100.0</v>
      </c>
      <c r="AS20" s="7"/>
      <c r="AT20" s="7"/>
    </row>
    <row r="21">
      <c r="A21" s="6" t="s">
        <v>179</v>
      </c>
      <c r="B21" s="7" t="s">
        <v>179</v>
      </c>
      <c r="C21" s="7" t="s">
        <v>179</v>
      </c>
      <c r="D21" s="8">
        <v>15217.0</v>
      </c>
      <c r="E21" s="8" t="s">
        <v>48</v>
      </c>
      <c r="F21" s="9"/>
      <c r="G21" s="10">
        <v>23.0</v>
      </c>
      <c r="H21" s="7" t="s">
        <v>180</v>
      </c>
      <c r="I21" s="7" t="s">
        <v>89</v>
      </c>
      <c r="J21" s="10"/>
      <c r="K21" s="10"/>
      <c r="L21" s="10"/>
      <c r="M21" s="10">
        <v>5356725.0</v>
      </c>
      <c r="N21" s="12" t="s">
        <v>181</v>
      </c>
      <c r="O21" s="11">
        <f t="shared" si="1"/>
        <v>3</v>
      </c>
      <c r="P21" s="7" t="str">
        <f t="shared" si="2"/>
        <v>Yes</v>
      </c>
      <c r="Q21" s="7"/>
      <c r="R21" s="7"/>
      <c r="S21" s="7" t="s">
        <v>182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2" t="s">
        <v>183</v>
      </c>
      <c r="AK21" s="7" t="s">
        <v>184</v>
      </c>
      <c r="AL21" s="7" t="s">
        <v>128</v>
      </c>
      <c r="AM21" s="10">
        <v>95051.0</v>
      </c>
      <c r="AN21" s="7" t="s">
        <v>63</v>
      </c>
      <c r="AO21" s="7">
        <v>45229.0</v>
      </c>
      <c r="AP21" s="7">
        <v>46101.0</v>
      </c>
      <c r="AQ21" s="7">
        <v>40082.0</v>
      </c>
      <c r="AR21" s="7">
        <v>46291.0</v>
      </c>
      <c r="AS21" s="7"/>
      <c r="AT21" s="7" t="s">
        <v>129</v>
      </c>
    </row>
    <row r="22" ht="15.75" customHeight="1">
      <c r="A22" s="6" t="s">
        <v>185</v>
      </c>
      <c r="B22" s="7" t="s">
        <v>185</v>
      </c>
      <c r="C22" s="7" t="s">
        <v>185</v>
      </c>
      <c r="D22" s="8">
        <v>4334.0</v>
      </c>
      <c r="E22" s="8" t="s">
        <v>48</v>
      </c>
      <c r="F22" s="9"/>
      <c r="G22" s="10"/>
      <c r="H22" s="7"/>
      <c r="I22" s="7" t="s">
        <v>59</v>
      </c>
      <c r="J22" s="10"/>
      <c r="K22" s="10"/>
      <c r="L22" s="10"/>
      <c r="M22" s="10"/>
      <c r="N22" s="12" t="s">
        <v>186</v>
      </c>
      <c r="O22" s="11">
        <f t="shared" si="1"/>
        <v>3</v>
      </c>
      <c r="P22" s="7" t="str">
        <f t="shared" si="2"/>
        <v>Yes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 t="s">
        <v>187</v>
      </c>
      <c r="AL22" s="7" t="s">
        <v>188</v>
      </c>
      <c r="AM22" s="10">
        <v>63501.0</v>
      </c>
      <c r="AN22" s="7" t="s">
        <v>63</v>
      </c>
      <c r="AO22" s="7">
        <v>44061.0</v>
      </c>
      <c r="AP22" s="7">
        <v>46096.0</v>
      </c>
      <c r="AQ22" s="7">
        <v>44050.0</v>
      </c>
      <c r="AR22" s="7">
        <v>46096.0</v>
      </c>
      <c r="AS22" s="7"/>
      <c r="AT22" s="7"/>
    </row>
    <row r="23" ht="45.0" customHeight="1">
      <c r="A23" s="6" t="s">
        <v>189</v>
      </c>
      <c r="B23" s="7" t="s">
        <v>189</v>
      </c>
      <c r="C23" s="7" t="s">
        <v>189</v>
      </c>
      <c r="D23" s="8">
        <v>8245.0</v>
      </c>
      <c r="E23" s="8">
        <v>11828.0</v>
      </c>
      <c r="F23" s="9" t="s">
        <v>190</v>
      </c>
      <c r="G23" s="10">
        <v>21.0</v>
      </c>
      <c r="H23" s="7" t="s">
        <v>191</v>
      </c>
      <c r="I23" s="7" t="s">
        <v>80</v>
      </c>
      <c r="J23" s="10"/>
      <c r="K23" s="10"/>
      <c r="L23" s="10"/>
      <c r="M23" s="10">
        <v>687305.0</v>
      </c>
      <c r="N23" s="7" t="s">
        <v>192</v>
      </c>
      <c r="O23" s="11">
        <f t="shared" si="1"/>
        <v>1</v>
      </c>
      <c r="P23" s="7" t="str">
        <f t="shared" si="2"/>
        <v>No</v>
      </c>
      <c r="Q23" s="7" t="s">
        <v>193</v>
      </c>
      <c r="R23" s="7" t="s">
        <v>194</v>
      </c>
      <c r="S23" s="7" t="s">
        <v>195</v>
      </c>
      <c r="T23" s="7" t="s">
        <v>196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 t="s">
        <v>197</v>
      </c>
      <c r="AL23" s="7" t="s">
        <v>121</v>
      </c>
      <c r="AM23" s="10">
        <v>10018.0</v>
      </c>
      <c r="AN23" s="7" t="s">
        <v>63</v>
      </c>
      <c r="AO23" s="7">
        <v>42318.0</v>
      </c>
      <c r="AP23" s="7">
        <v>46077.0</v>
      </c>
      <c r="AQ23" s="7">
        <v>42222.0</v>
      </c>
      <c r="AR23" s="7">
        <v>46971.0</v>
      </c>
      <c r="AS23" s="7"/>
      <c r="AT23" s="7"/>
    </row>
    <row r="24" ht="15.75" customHeight="1">
      <c r="A24" s="6" t="s">
        <v>198</v>
      </c>
      <c r="B24" s="7" t="s">
        <v>198</v>
      </c>
      <c r="C24" s="7" t="s">
        <v>198</v>
      </c>
      <c r="D24" s="8">
        <v>897.0</v>
      </c>
      <c r="E24" s="8" t="s">
        <v>48</v>
      </c>
      <c r="F24" s="9"/>
      <c r="G24" s="10"/>
      <c r="H24" s="7"/>
      <c r="I24" s="7" t="s">
        <v>80</v>
      </c>
      <c r="J24" s="10"/>
      <c r="K24" s="10"/>
      <c r="L24" s="10"/>
      <c r="M24" s="10"/>
      <c r="N24" s="12" t="s">
        <v>199</v>
      </c>
      <c r="O24" s="11">
        <f t="shared" si="1"/>
        <v>2</v>
      </c>
      <c r="P24" s="7" t="str">
        <f t="shared" si="2"/>
        <v>Yes</v>
      </c>
      <c r="Q24" s="7" t="s">
        <v>200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 t="s">
        <v>201</v>
      </c>
      <c r="AL24" s="7" t="s">
        <v>100</v>
      </c>
      <c r="AM24" s="10">
        <v>21202.0</v>
      </c>
      <c r="AN24" s="7" t="s">
        <v>63</v>
      </c>
      <c r="AO24" s="7">
        <v>44372.0</v>
      </c>
      <c r="AP24" s="7">
        <v>46073.0</v>
      </c>
      <c r="AQ24" s="7">
        <v>44180.0</v>
      </c>
      <c r="AR24" s="7">
        <v>46073.0</v>
      </c>
      <c r="AS24" s="7"/>
      <c r="AT24" s="7"/>
    </row>
    <row r="25" ht="15.75" customHeight="1">
      <c r="A25" s="6" t="s">
        <v>202</v>
      </c>
      <c r="B25" s="7" t="s">
        <v>202</v>
      </c>
      <c r="C25" s="7" t="s">
        <v>202</v>
      </c>
      <c r="D25" s="8">
        <v>4505.0</v>
      </c>
      <c r="E25" s="8">
        <v>102749.0</v>
      </c>
      <c r="F25" s="9" t="s">
        <v>203</v>
      </c>
      <c r="G25" s="10"/>
      <c r="H25" s="7" t="s">
        <v>204</v>
      </c>
      <c r="I25" s="7" t="s">
        <v>205</v>
      </c>
      <c r="J25" s="10"/>
      <c r="K25" s="10"/>
      <c r="L25" s="10"/>
      <c r="M25" s="10">
        <v>3.3669117E7</v>
      </c>
      <c r="N25" s="7" t="s">
        <v>206</v>
      </c>
      <c r="O25" s="11">
        <f t="shared" si="1"/>
        <v>1</v>
      </c>
      <c r="P25" s="7" t="str">
        <f t="shared" si="2"/>
        <v>No</v>
      </c>
      <c r="Q25" s="7"/>
      <c r="R25" s="7" t="s">
        <v>207</v>
      </c>
      <c r="S25" s="7" t="s">
        <v>208</v>
      </c>
      <c r="T25" s="7"/>
      <c r="U25" s="7"/>
      <c r="V25" s="7" t="s">
        <v>209</v>
      </c>
      <c r="W25" s="7"/>
      <c r="X25" s="7" t="s">
        <v>210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 t="s">
        <v>211</v>
      </c>
      <c r="AL25" s="7" t="s">
        <v>114</v>
      </c>
      <c r="AM25" s="10">
        <v>32541.0</v>
      </c>
      <c r="AN25" s="7" t="s">
        <v>63</v>
      </c>
      <c r="AO25" s="7">
        <v>43661.0</v>
      </c>
      <c r="AP25" s="7">
        <v>46096.0</v>
      </c>
      <c r="AQ25" s="7">
        <v>40915.0</v>
      </c>
      <c r="AR25" s="7">
        <v>46096.0</v>
      </c>
      <c r="AS25" s="7"/>
      <c r="AT25" s="7"/>
    </row>
    <row r="26" ht="15.75" customHeight="1">
      <c r="A26" s="6" t="s">
        <v>212</v>
      </c>
      <c r="B26" s="7" t="s">
        <v>212</v>
      </c>
      <c r="C26" s="7" t="s">
        <v>212</v>
      </c>
      <c r="D26" s="8">
        <v>4505.0</v>
      </c>
      <c r="E26" s="8">
        <v>102749.0</v>
      </c>
      <c r="F26" s="9"/>
      <c r="G26" s="10"/>
      <c r="H26" s="7" t="s">
        <v>213</v>
      </c>
      <c r="I26" s="7" t="s">
        <v>80</v>
      </c>
      <c r="J26" s="10"/>
      <c r="K26" s="10"/>
      <c r="L26" s="10"/>
      <c r="M26" s="10">
        <v>8.2691969E7</v>
      </c>
      <c r="N26" s="12" t="s">
        <v>214</v>
      </c>
      <c r="O26" s="11">
        <f t="shared" si="1"/>
        <v>2</v>
      </c>
      <c r="P26" s="7" t="str">
        <f t="shared" si="2"/>
        <v>Yes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 t="s">
        <v>215</v>
      </c>
      <c r="AK26" s="7" t="s">
        <v>216</v>
      </c>
      <c r="AL26" s="7" t="s">
        <v>217</v>
      </c>
      <c r="AM26" s="10">
        <v>6001.0</v>
      </c>
      <c r="AN26" s="7" t="s">
        <v>63</v>
      </c>
      <c r="AO26" s="7">
        <v>43711.0</v>
      </c>
      <c r="AP26" s="7">
        <v>46096.0</v>
      </c>
      <c r="AQ26" s="7">
        <v>42689.0</v>
      </c>
      <c r="AR26" s="7">
        <v>46096.0</v>
      </c>
      <c r="AS26" s="7"/>
      <c r="AT26" s="7"/>
    </row>
    <row r="27" ht="15.75" customHeight="1">
      <c r="A27" s="6" t="s">
        <v>218</v>
      </c>
      <c r="B27" s="7" t="s">
        <v>218</v>
      </c>
      <c r="C27" s="7" t="s">
        <v>218</v>
      </c>
      <c r="D27" s="8">
        <v>8767.0</v>
      </c>
      <c r="E27" s="8" t="s">
        <v>48</v>
      </c>
      <c r="F27" s="9"/>
      <c r="G27" s="10"/>
      <c r="H27" s="7"/>
      <c r="I27" s="7" t="s">
        <v>89</v>
      </c>
      <c r="J27" s="10"/>
      <c r="K27" s="10"/>
      <c r="L27" s="10"/>
      <c r="M27" s="10">
        <v>1.4142122E7</v>
      </c>
      <c r="N27" s="12" t="s">
        <v>219</v>
      </c>
      <c r="O27" s="11">
        <f t="shared" si="1"/>
        <v>4</v>
      </c>
      <c r="P27" s="7" t="str">
        <f t="shared" si="2"/>
        <v>Yes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 t="s">
        <v>220</v>
      </c>
      <c r="AL27" s="7" t="s">
        <v>188</v>
      </c>
      <c r="AM27" s="10">
        <v>65020.0</v>
      </c>
      <c r="AN27" s="7" t="s">
        <v>63</v>
      </c>
      <c r="AO27" s="7">
        <v>42185.0</v>
      </c>
      <c r="AP27" s="7">
        <v>46096.0</v>
      </c>
      <c r="AQ27" s="7">
        <v>41228.0</v>
      </c>
      <c r="AR27" s="7">
        <v>46341.0</v>
      </c>
      <c r="AS27" s="7"/>
      <c r="AT27" s="7"/>
    </row>
    <row r="28" ht="15.75" customHeight="1">
      <c r="A28" s="6" t="s">
        <v>221</v>
      </c>
      <c r="B28" s="7" t="s">
        <v>221</v>
      </c>
      <c r="C28" s="7" t="s">
        <v>221</v>
      </c>
      <c r="D28" s="8">
        <v>15194.0</v>
      </c>
      <c r="E28" s="8" t="s">
        <v>48</v>
      </c>
      <c r="F28" s="9"/>
      <c r="G28" s="10"/>
      <c r="H28" s="7"/>
      <c r="I28" s="7" t="s">
        <v>89</v>
      </c>
      <c r="J28" s="10"/>
      <c r="K28" s="10"/>
      <c r="L28" s="10"/>
      <c r="M28" s="10">
        <v>1.9703497E7</v>
      </c>
      <c r="N28" s="12" t="s">
        <v>222</v>
      </c>
      <c r="O28" s="11">
        <f t="shared" si="1"/>
        <v>3</v>
      </c>
      <c r="P28" s="7" t="str">
        <f t="shared" si="2"/>
        <v>Yes</v>
      </c>
      <c r="Q28" s="7"/>
      <c r="R28" s="7"/>
      <c r="S28" s="7" t="s">
        <v>223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 t="s">
        <v>224</v>
      </c>
      <c r="AL28" s="7" t="s">
        <v>121</v>
      </c>
      <c r="AM28" s="10">
        <v>13045.0</v>
      </c>
      <c r="AN28" s="7" t="s">
        <v>63</v>
      </c>
      <c r="AO28" s="7">
        <v>42051.0</v>
      </c>
      <c r="AP28" s="7">
        <v>46096.0</v>
      </c>
      <c r="AQ28" s="7">
        <v>39686.0</v>
      </c>
      <c r="AR28" s="7">
        <v>46260.0</v>
      </c>
      <c r="AS28" s="7"/>
      <c r="AT28" s="7"/>
    </row>
    <row r="29" ht="30.0" customHeight="1">
      <c r="A29" s="6" t="s">
        <v>225</v>
      </c>
      <c r="B29" s="7" t="s">
        <v>225</v>
      </c>
      <c r="C29" s="7" t="s">
        <v>225</v>
      </c>
      <c r="D29" s="8">
        <v>11017.0</v>
      </c>
      <c r="E29" s="8" t="s">
        <v>48</v>
      </c>
      <c r="F29" s="9"/>
      <c r="G29" s="10"/>
      <c r="H29" s="7" t="s">
        <v>226</v>
      </c>
      <c r="I29" s="7" t="s">
        <v>89</v>
      </c>
      <c r="J29" s="10"/>
      <c r="K29" s="10"/>
      <c r="L29" s="10"/>
      <c r="M29" s="10">
        <v>2.6630226E7</v>
      </c>
      <c r="N29" s="12" t="s">
        <v>227</v>
      </c>
      <c r="O29" s="11">
        <f t="shared" si="1"/>
        <v>5</v>
      </c>
      <c r="P29" s="7" t="str">
        <f t="shared" si="2"/>
        <v>Yes</v>
      </c>
      <c r="Q29" s="7" t="s">
        <v>228</v>
      </c>
      <c r="R29" s="7" t="s">
        <v>229</v>
      </c>
      <c r="S29" s="7" t="s">
        <v>230</v>
      </c>
      <c r="T29" s="7"/>
      <c r="U29" s="7"/>
      <c r="V29" s="7"/>
      <c r="W29" s="7"/>
      <c r="X29" s="7" t="s">
        <v>231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 t="s">
        <v>232</v>
      </c>
      <c r="AK29" s="7" t="s">
        <v>233</v>
      </c>
      <c r="AL29" s="7" t="s">
        <v>121</v>
      </c>
      <c r="AM29" s="10">
        <v>10305.0</v>
      </c>
      <c r="AN29" s="7" t="s">
        <v>63</v>
      </c>
      <c r="AO29" s="7">
        <v>45544.0</v>
      </c>
      <c r="AP29" s="7">
        <v>46096.0</v>
      </c>
      <c r="AQ29" s="7">
        <v>42184.0</v>
      </c>
      <c r="AR29" s="7">
        <v>46202.0</v>
      </c>
      <c r="AS29" s="7"/>
      <c r="AT29" s="7"/>
    </row>
    <row r="30" ht="15.75" customHeight="1">
      <c r="A30" s="6" t="s">
        <v>234</v>
      </c>
      <c r="B30" s="7" t="s">
        <v>234</v>
      </c>
      <c r="C30" s="7" t="s">
        <v>234</v>
      </c>
      <c r="D30" s="8">
        <v>4505.0</v>
      </c>
      <c r="E30" s="8">
        <v>102749.0</v>
      </c>
      <c r="F30" s="9" t="s">
        <v>235</v>
      </c>
      <c r="G30" s="10"/>
      <c r="H30" s="7" t="s">
        <v>236</v>
      </c>
      <c r="I30" s="7" t="s">
        <v>237</v>
      </c>
      <c r="J30" s="10"/>
      <c r="K30" s="10"/>
      <c r="L30" s="10"/>
      <c r="M30" s="10">
        <v>5.2032757E7</v>
      </c>
      <c r="N30" s="12" t="s">
        <v>238</v>
      </c>
      <c r="O30" s="11">
        <f t="shared" si="1"/>
        <v>4</v>
      </c>
      <c r="P30" s="7" t="str">
        <f t="shared" si="2"/>
        <v>Yes</v>
      </c>
      <c r="Q30" s="7"/>
      <c r="R30" s="7"/>
      <c r="S30" s="7"/>
      <c r="T30" s="7"/>
      <c r="U30" s="7"/>
      <c r="V30" s="7"/>
      <c r="W30" s="7"/>
      <c r="X30" s="7" t="s">
        <v>239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 t="s">
        <v>240</v>
      </c>
      <c r="AL30" s="7" t="s">
        <v>241</v>
      </c>
      <c r="AM30" s="10">
        <v>19115.0</v>
      </c>
      <c r="AN30" s="7" t="s">
        <v>63</v>
      </c>
      <c r="AO30" s="7">
        <v>43661.0</v>
      </c>
      <c r="AP30" s="7">
        <v>46073.0</v>
      </c>
      <c r="AQ30" s="7">
        <v>43108.0</v>
      </c>
      <c r="AR30" s="7">
        <v>46073.0</v>
      </c>
      <c r="AS30" s="7"/>
      <c r="AT30" s="7"/>
    </row>
    <row r="31" ht="15.75" customHeight="1">
      <c r="A31" s="6" t="s">
        <v>242</v>
      </c>
      <c r="B31" s="7" t="s">
        <v>242</v>
      </c>
      <c r="C31" s="7" t="s">
        <v>242</v>
      </c>
      <c r="D31" s="8">
        <v>2597.0</v>
      </c>
      <c r="E31" s="8" t="s">
        <v>48</v>
      </c>
      <c r="F31" s="9"/>
      <c r="G31" s="10"/>
      <c r="H31" s="7" t="s">
        <v>243</v>
      </c>
      <c r="I31" s="7" t="s">
        <v>59</v>
      </c>
      <c r="J31" s="10"/>
      <c r="K31" s="10"/>
      <c r="L31" s="10"/>
      <c r="M31" s="10">
        <v>3.1519323E7</v>
      </c>
      <c r="N31" s="7" t="s">
        <v>244</v>
      </c>
      <c r="O31" s="11">
        <f t="shared" si="1"/>
        <v>1</v>
      </c>
      <c r="P31" s="7" t="str">
        <f t="shared" si="2"/>
        <v>No</v>
      </c>
      <c r="Q31" s="7" t="s">
        <v>245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12" t="s">
        <v>246</v>
      </c>
      <c r="AK31" s="7" t="s">
        <v>247</v>
      </c>
      <c r="AL31" s="7" t="s">
        <v>248</v>
      </c>
      <c r="AM31" s="10" t="s">
        <v>249</v>
      </c>
      <c r="AN31" s="7" t="s">
        <v>250</v>
      </c>
      <c r="AO31" s="7">
        <v>45426.0</v>
      </c>
      <c r="AP31" s="7">
        <v>45934.0</v>
      </c>
      <c r="AQ31" s="7">
        <v>43740.0</v>
      </c>
      <c r="AR31" s="7">
        <v>46096.0</v>
      </c>
      <c r="AS31" s="7"/>
      <c r="AT31" s="7" t="s">
        <v>251</v>
      </c>
    </row>
    <row r="32" ht="15.75" customHeight="1">
      <c r="A32" s="6" t="s">
        <v>252</v>
      </c>
      <c r="B32" s="7" t="s">
        <v>252</v>
      </c>
      <c r="C32" s="7" t="s">
        <v>252</v>
      </c>
      <c r="D32" s="8">
        <v>6597.0</v>
      </c>
      <c r="E32" s="8" t="s">
        <v>48</v>
      </c>
      <c r="F32" s="9"/>
      <c r="G32" s="10"/>
      <c r="H32" s="7" t="s">
        <v>253</v>
      </c>
      <c r="I32" s="7" t="s">
        <v>132</v>
      </c>
      <c r="J32" s="10"/>
      <c r="K32" s="10"/>
      <c r="L32" s="10"/>
      <c r="M32" s="10">
        <v>3471054.0</v>
      </c>
      <c r="N32" s="7" t="s">
        <v>254</v>
      </c>
      <c r="O32" s="11">
        <f t="shared" si="1"/>
        <v>1</v>
      </c>
      <c r="P32" s="7" t="str">
        <f t="shared" si="2"/>
        <v>No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 t="s">
        <v>255</v>
      </c>
      <c r="AL32" s="7"/>
      <c r="AM32" s="10">
        <v>53175.0</v>
      </c>
      <c r="AN32" s="7" t="s">
        <v>256</v>
      </c>
      <c r="AO32" s="7">
        <v>44358.0</v>
      </c>
      <c r="AP32" s="7">
        <v>46094.0</v>
      </c>
      <c r="AQ32" s="7">
        <v>42449.0</v>
      </c>
      <c r="AR32" s="7">
        <v>46094.0</v>
      </c>
      <c r="AS32" s="7"/>
      <c r="AT32" s="7" t="s">
        <v>257</v>
      </c>
    </row>
    <row r="33" ht="15.75" customHeight="1">
      <c r="A33" s="6" t="s">
        <v>258</v>
      </c>
      <c r="B33" s="7" t="s">
        <v>258</v>
      </c>
      <c r="C33" s="7" t="s">
        <v>258</v>
      </c>
      <c r="D33" s="8">
        <v>0.0</v>
      </c>
      <c r="E33" s="8">
        <v>102749.0</v>
      </c>
      <c r="F33" s="9"/>
      <c r="G33" s="10"/>
      <c r="H33" s="7"/>
      <c r="I33" s="7" t="s">
        <v>132</v>
      </c>
      <c r="J33" s="10"/>
      <c r="K33" s="10"/>
      <c r="L33" s="10"/>
      <c r="M33" s="10"/>
      <c r="N33" s="7"/>
      <c r="O33" s="7"/>
      <c r="P33" s="7" t="str">
        <f t="shared" si="2"/>
        <v>No</v>
      </c>
      <c r="Q33" s="7"/>
      <c r="R33" s="7"/>
      <c r="S33" s="7"/>
      <c r="T33" s="7"/>
      <c r="U33" s="7"/>
      <c r="V33" s="7"/>
      <c r="W33" s="7"/>
      <c r="X33" s="7" t="s">
        <v>259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10"/>
      <c r="AN33" s="7" t="s">
        <v>134</v>
      </c>
      <c r="AO33" s="7">
        <v>44741.0</v>
      </c>
      <c r="AP33" s="7">
        <v>46073.0</v>
      </c>
      <c r="AQ33" s="7">
        <v>44091.0</v>
      </c>
      <c r="AR33" s="7">
        <v>46073.0</v>
      </c>
      <c r="AS33" s="7"/>
      <c r="AT33" s="7"/>
    </row>
    <row r="34" ht="15.75" customHeight="1">
      <c r="A34" s="6" t="s">
        <v>260</v>
      </c>
      <c r="B34" s="7" t="s">
        <v>260</v>
      </c>
      <c r="C34" s="7" t="s">
        <v>260</v>
      </c>
      <c r="D34" s="8">
        <v>897.0</v>
      </c>
      <c r="E34" s="8" t="s">
        <v>48</v>
      </c>
      <c r="F34" s="9"/>
      <c r="G34" s="10"/>
      <c r="H34" s="7"/>
      <c r="I34" s="7" t="s">
        <v>80</v>
      </c>
      <c r="J34" s="10"/>
      <c r="K34" s="10"/>
      <c r="L34" s="10"/>
      <c r="M34" s="10"/>
      <c r="N34" s="7"/>
      <c r="O34" s="7"/>
      <c r="P34" s="7" t="str">
        <f t="shared" si="2"/>
        <v>No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10"/>
      <c r="AN34" s="7" t="s">
        <v>134</v>
      </c>
      <c r="AO34" s="7">
        <v>44408.0</v>
      </c>
      <c r="AP34" s="7">
        <v>46073.0</v>
      </c>
      <c r="AQ34" s="7">
        <v>44168.0</v>
      </c>
      <c r="AR34" s="7">
        <v>46073.0</v>
      </c>
      <c r="AS34" s="7"/>
      <c r="AT34" s="7"/>
    </row>
    <row r="35" ht="15.75" customHeight="1">
      <c r="A35" s="6" t="s">
        <v>261</v>
      </c>
      <c r="B35" s="7" t="s">
        <v>261</v>
      </c>
      <c r="C35" s="7" t="s">
        <v>261</v>
      </c>
      <c r="D35" s="8">
        <v>897.0</v>
      </c>
      <c r="E35" s="8" t="s">
        <v>48</v>
      </c>
      <c r="F35" s="9"/>
      <c r="G35" s="10"/>
      <c r="H35" s="7"/>
      <c r="I35" s="7"/>
      <c r="J35" s="10"/>
      <c r="K35" s="10"/>
      <c r="L35" s="10"/>
      <c r="M35" s="10">
        <v>2.0922528E7</v>
      </c>
      <c r="N35" s="7"/>
      <c r="O35" s="7"/>
      <c r="P35" s="7" t="str">
        <f t="shared" si="2"/>
        <v>No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10"/>
      <c r="AN35" s="7"/>
      <c r="AO35" s="7">
        <v>45234.0</v>
      </c>
      <c r="AP35" s="7">
        <v>46073.0</v>
      </c>
      <c r="AQ35" s="7">
        <v>45183.0</v>
      </c>
      <c r="AR35" s="7">
        <v>46073.0</v>
      </c>
      <c r="AS35" s="7"/>
      <c r="AT35" s="7"/>
    </row>
    <row r="36" ht="15.75" customHeight="1">
      <c r="A36" s="6" t="s">
        <v>262</v>
      </c>
      <c r="B36" s="7" t="s">
        <v>262</v>
      </c>
      <c r="C36" s="7" t="s">
        <v>262</v>
      </c>
      <c r="D36" s="8">
        <v>897.0</v>
      </c>
      <c r="E36" s="8" t="s">
        <v>48</v>
      </c>
      <c r="F36" s="9"/>
      <c r="G36" s="10"/>
      <c r="H36" s="7"/>
      <c r="I36" s="7"/>
      <c r="J36" s="10"/>
      <c r="K36" s="10"/>
      <c r="L36" s="10"/>
      <c r="M36" s="10"/>
      <c r="N36" s="7"/>
      <c r="O36" s="7"/>
      <c r="P36" s="7" t="str">
        <f t="shared" si="2"/>
        <v>No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0"/>
      <c r="AN36" s="7"/>
      <c r="AO36" s="7">
        <v>45902.0</v>
      </c>
      <c r="AP36" s="7">
        <v>46073.0</v>
      </c>
      <c r="AQ36" s="7">
        <v>45814.0</v>
      </c>
      <c r="AR36" s="7">
        <v>46178.0</v>
      </c>
      <c r="AS36" s="7"/>
      <c r="AT36" s="7"/>
    </row>
    <row r="37" ht="15.75" customHeight="1">
      <c r="A37" s="6" t="s">
        <v>263</v>
      </c>
      <c r="B37" s="7" t="s">
        <v>263</v>
      </c>
      <c r="C37" s="7" t="s">
        <v>263</v>
      </c>
      <c r="D37" s="8">
        <v>0.0</v>
      </c>
      <c r="E37" s="8" t="s">
        <v>48</v>
      </c>
      <c r="F37" s="9"/>
      <c r="G37" s="10"/>
      <c r="H37" s="7"/>
      <c r="I37" s="7" t="s">
        <v>132</v>
      </c>
      <c r="J37" s="10"/>
      <c r="K37" s="10"/>
      <c r="L37" s="10"/>
      <c r="M37" s="10"/>
      <c r="N37" s="7"/>
      <c r="O37" s="7"/>
      <c r="P37" s="7" t="str">
        <f t="shared" si="2"/>
        <v>No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 t="s">
        <v>264</v>
      </c>
      <c r="AL37" s="7" t="s">
        <v>265</v>
      </c>
      <c r="AM37" s="10">
        <v>3124.0</v>
      </c>
      <c r="AN37" s="7" t="s">
        <v>266</v>
      </c>
      <c r="AO37" s="7">
        <v>45774.0</v>
      </c>
      <c r="AP37" s="7">
        <v>45979.0</v>
      </c>
      <c r="AQ37" s="7">
        <v>45706.0</v>
      </c>
      <c r="AR37" s="7">
        <v>46073.0</v>
      </c>
      <c r="AS37" s="7"/>
      <c r="AT37" s="7"/>
    </row>
    <row r="38" ht="480.0" customHeight="1">
      <c r="A38" s="6" t="s">
        <v>267</v>
      </c>
      <c r="B38" s="7" t="s">
        <v>267</v>
      </c>
      <c r="C38" s="7" t="s">
        <v>267</v>
      </c>
      <c r="D38" s="8">
        <v>4397.0</v>
      </c>
      <c r="E38" s="8" t="s">
        <v>48</v>
      </c>
      <c r="F38" s="9"/>
      <c r="G38" s="10"/>
      <c r="H38" s="7"/>
      <c r="I38" s="7"/>
      <c r="J38" s="10"/>
      <c r="K38" s="10"/>
      <c r="L38" s="10"/>
      <c r="M38" s="10"/>
      <c r="N38" s="7"/>
      <c r="O38" s="7"/>
      <c r="P38" s="7" t="str">
        <f t="shared" si="2"/>
        <v>No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10"/>
      <c r="AN38" s="7"/>
      <c r="AO38" s="7">
        <v>45706.0</v>
      </c>
      <c r="AP38" s="7">
        <v>46096.0</v>
      </c>
      <c r="AQ38" s="7">
        <v>45706.0</v>
      </c>
      <c r="AR38" s="7">
        <v>46096.0</v>
      </c>
      <c r="AS38" s="7"/>
      <c r="AT38" s="7"/>
    </row>
    <row r="39" ht="15.75" customHeight="1">
      <c r="A39" s="6" t="s">
        <v>268</v>
      </c>
      <c r="B39" s="7" t="s">
        <v>268</v>
      </c>
      <c r="C39" s="7" t="s">
        <v>268</v>
      </c>
      <c r="D39" s="8">
        <v>0.0</v>
      </c>
      <c r="E39" s="8" t="s">
        <v>48</v>
      </c>
      <c r="F39" s="9"/>
      <c r="G39" s="10"/>
      <c r="H39" s="7"/>
      <c r="I39" s="7"/>
      <c r="J39" s="10"/>
      <c r="K39" s="10"/>
      <c r="L39" s="10"/>
      <c r="M39" s="10">
        <v>7.4821978E7</v>
      </c>
      <c r="N39" s="7"/>
      <c r="O39" s="7"/>
      <c r="P39" s="7" t="str">
        <f t="shared" si="2"/>
        <v>No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10"/>
      <c r="AN39" s="7"/>
      <c r="AO39" s="7">
        <v>46028.0</v>
      </c>
      <c r="AP39" s="7">
        <v>46028.0</v>
      </c>
      <c r="AQ39" s="7">
        <v>45426.0</v>
      </c>
      <c r="AR39" s="7">
        <v>46336.0</v>
      </c>
      <c r="AS39" s="7"/>
      <c r="AT39" s="7"/>
    </row>
    <row r="40" ht="15.75" customHeight="1">
      <c r="A40" s="6" t="s">
        <v>269</v>
      </c>
      <c r="B40" s="7" t="s">
        <v>269</v>
      </c>
      <c r="C40" s="7" t="s">
        <v>269</v>
      </c>
      <c r="D40" s="8">
        <v>0.0</v>
      </c>
      <c r="E40" s="8" t="s">
        <v>48</v>
      </c>
      <c r="F40" s="9"/>
      <c r="G40" s="10"/>
      <c r="H40" s="7"/>
      <c r="I40" s="7"/>
      <c r="J40" s="10"/>
      <c r="K40" s="10"/>
      <c r="L40" s="10"/>
      <c r="M40" s="10"/>
      <c r="N40" s="7"/>
      <c r="O40" s="7"/>
      <c r="P40" s="7" t="str">
        <f t="shared" si="2"/>
        <v>No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10"/>
      <c r="AN40" s="7"/>
      <c r="AO40" s="7">
        <v>45679.0</v>
      </c>
      <c r="AP40" s="7">
        <v>45995.0</v>
      </c>
      <c r="AQ40" s="7">
        <v>45651.0</v>
      </c>
      <c r="AR40" s="7">
        <v>46073.0</v>
      </c>
      <c r="AS40" s="7"/>
      <c r="AT40" s="7"/>
    </row>
    <row r="41" ht="300.0" customHeight="1">
      <c r="A41" s="6" t="s">
        <v>270</v>
      </c>
      <c r="B41" s="7" t="s">
        <v>270</v>
      </c>
      <c r="C41" s="7" t="s">
        <v>270</v>
      </c>
      <c r="D41" s="8">
        <v>0.0</v>
      </c>
      <c r="E41" s="8" t="s">
        <v>48</v>
      </c>
      <c r="F41" s="9"/>
      <c r="G41" s="10"/>
      <c r="H41" s="7"/>
      <c r="I41" s="7"/>
      <c r="J41" s="10"/>
      <c r="K41" s="10"/>
      <c r="L41" s="10"/>
      <c r="M41" s="10">
        <v>4.8463901E7</v>
      </c>
      <c r="N41" s="7"/>
      <c r="O41" s="7"/>
      <c r="P41" s="7" t="str">
        <f t="shared" si="2"/>
        <v>No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10"/>
      <c r="AN41" s="7"/>
      <c r="AO41" s="7">
        <v>45766.0</v>
      </c>
      <c r="AP41" s="7">
        <v>45979.0</v>
      </c>
      <c r="AQ41" s="7">
        <v>43679.0</v>
      </c>
      <c r="AR41" s="7">
        <v>46073.0</v>
      </c>
      <c r="AS41" s="7"/>
      <c r="AT41" s="7"/>
    </row>
    <row r="42" ht="15.75" customHeight="1">
      <c r="A42" s="6" t="s">
        <v>271</v>
      </c>
      <c r="B42" s="7" t="s">
        <v>271</v>
      </c>
      <c r="C42" s="7" t="s">
        <v>271</v>
      </c>
      <c r="D42" s="8">
        <v>1396.0</v>
      </c>
      <c r="E42" s="8" t="s">
        <v>48</v>
      </c>
      <c r="F42" s="9"/>
      <c r="G42" s="10"/>
      <c r="H42" s="7"/>
      <c r="I42" s="7"/>
      <c r="J42" s="10"/>
      <c r="K42" s="10"/>
      <c r="L42" s="10"/>
      <c r="M42" s="10"/>
      <c r="N42" s="7"/>
      <c r="O42" s="7"/>
      <c r="P42" s="7" t="str">
        <f t="shared" si="2"/>
        <v>No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0"/>
      <c r="AN42" s="7"/>
      <c r="AO42" s="7">
        <v>46073.0</v>
      </c>
      <c r="AP42" s="7">
        <v>46073.0</v>
      </c>
      <c r="AQ42" s="7">
        <v>45943.0</v>
      </c>
      <c r="AR42" s="7">
        <v>46073.0</v>
      </c>
      <c r="AS42" s="7"/>
      <c r="AT42" s="7"/>
    </row>
    <row r="43" ht="60.0" customHeight="1">
      <c r="A43" s="6" t="s">
        <v>272</v>
      </c>
      <c r="B43" s="7" t="s">
        <v>272</v>
      </c>
      <c r="C43" s="7" t="s">
        <v>272</v>
      </c>
      <c r="D43" s="8">
        <v>0.0</v>
      </c>
      <c r="E43" s="8" t="s">
        <v>48</v>
      </c>
      <c r="F43" s="9"/>
      <c r="G43" s="10"/>
      <c r="H43" s="7"/>
      <c r="I43" s="7"/>
      <c r="J43" s="10"/>
      <c r="K43" s="10"/>
      <c r="L43" s="10"/>
      <c r="M43" s="10"/>
      <c r="N43" s="7"/>
      <c r="O43" s="7"/>
      <c r="P43" s="7" t="str">
        <f t="shared" si="2"/>
        <v>No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0"/>
      <c r="AN43" s="7"/>
      <c r="AO43" s="7">
        <v>45777.0</v>
      </c>
      <c r="AP43" s="7">
        <v>45979.0</v>
      </c>
      <c r="AQ43" s="7">
        <v>45706.0</v>
      </c>
      <c r="AR43" s="7">
        <v>46073.0</v>
      </c>
      <c r="AS43" s="7"/>
      <c r="AT43" s="7"/>
    </row>
    <row r="44" ht="15.75" customHeight="1">
      <c r="A44" s="6" t="s">
        <v>273</v>
      </c>
      <c r="B44" s="7" t="s">
        <v>273</v>
      </c>
      <c r="C44" s="7" t="s">
        <v>273</v>
      </c>
      <c r="D44" s="8">
        <v>897.0</v>
      </c>
      <c r="E44" s="8" t="s">
        <v>48</v>
      </c>
      <c r="F44" s="9"/>
      <c r="G44" s="10"/>
      <c r="H44" s="7"/>
      <c r="I44" s="7"/>
      <c r="J44" s="10"/>
      <c r="K44" s="10"/>
      <c r="L44" s="10"/>
      <c r="M44" s="10">
        <v>8.472526E7</v>
      </c>
      <c r="N44" s="7"/>
      <c r="O44" s="7"/>
      <c r="P44" s="7" t="str">
        <f t="shared" si="2"/>
        <v>No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0"/>
      <c r="AN44" s="7"/>
      <c r="AO44" s="7">
        <v>45426.0</v>
      </c>
      <c r="AP44" s="7">
        <v>46073.0</v>
      </c>
      <c r="AQ44" s="7">
        <v>45426.0</v>
      </c>
      <c r="AR44" s="7">
        <v>46073.0</v>
      </c>
      <c r="AS44" s="7"/>
      <c r="AT44" s="7"/>
    </row>
    <row r="45" ht="15.75" customHeight="1">
      <c r="A45" s="6" t="s">
        <v>274</v>
      </c>
      <c r="B45" s="7" t="s">
        <v>274</v>
      </c>
      <c r="C45" s="7" t="s">
        <v>274</v>
      </c>
      <c r="D45" s="8">
        <v>4505.0</v>
      </c>
      <c r="E45" s="8">
        <v>102749.0</v>
      </c>
      <c r="F45" s="9"/>
      <c r="G45" s="10"/>
      <c r="H45" s="7" t="s">
        <v>275</v>
      </c>
      <c r="I45" s="7" t="s">
        <v>276</v>
      </c>
      <c r="J45" s="10"/>
      <c r="K45" s="10"/>
      <c r="L45" s="10"/>
      <c r="M45" s="10"/>
      <c r="N45" s="7"/>
      <c r="O45" s="7"/>
      <c r="P45" s="7" t="str">
        <f t="shared" si="2"/>
        <v>No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 t="s">
        <v>277</v>
      </c>
      <c r="AK45" s="7"/>
      <c r="AL45" s="7"/>
      <c r="AM45" s="10"/>
      <c r="AN45" s="7" t="s">
        <v>134</v>
      </c>
      <c r="AO45" s="7">
        <v>43013.0</v>
      </c>
      <c r="AP45" s="7">
        <v>46096.0</v>
      </c>
      <c r="AQ45" s="7">
        <v>42835.0</v>
      </c>
      <c r="AR45" s="7">
        <v>46096.0</v>
      </c>
      <c r="AS45" s="7"/>
      <c r="AT45" s="7"/>
    </row>
    <row r="46" ht="15.75" customHeight="1">
      <c r="A46" s="6" t="s">
        <v>278</v>
      </c>
      <c r="B46" s="7" t="s">
        <v>278</v>
      </c>
      <c r="C46" s="7" t="s">
        <v>278</v>
      </c>
      <c r="D46" s="8">
        <v>897.0</v>
      </c>
      <c r="E46" s="8">
        <v>5988.0</v>
      </c>
      <c r="F46" s="9"/>
      <c r="G46" s="10"/>
      <c r="H46" s="7" t="s">
        <v>279</v>
      </c>
      <c r="I46" s="7" t="s">
        <v>132</v>
      </c>
      <c r="J46" s="10"/>
      <c r="K46" s="10"/>
      <c r="L46" s="10"/>
      <c r="M46" s="10"/>
      <c r="N46" s="7"/>
      <c r="O46" s="7"/>
      <c r="P46" s="7" t="str">
        <f t="shared" si="2"/>
        <v>No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 t="s">
        <v>280</v>
      </c>
      <c r="AL46" s="7"/>
      <c r="AM46" s="10">
        <v>14003.0</v>
      </c>
      <c r="AN46" s="7" t="s">
        <v>281</v>
      </c>
      <c r="AO46" s="7">
        <v>45547.0</v>
      </c>
      <c r="AP46" s="7">
        <v>46073.0</v>
      </c>
      <c r="AQ46" s="7">
        <v>45503.0</v>
      </c>
      <c r="AR46" s="7">
        <v>46073.0</v>
      </c>
      <c r="AS46" s="7"/>
      <c r="AT46" s="7" t="s">
        <v>282</v>
      </c>
    </row>
    <row r="47" ht="15.75" customHeight="1">
      <c r="A47" s="6" t="s">
        <v>283</v>
      </c>
      <c r="B47" s="7" t="s">
        <v>283</v>
      </c>
      <c r="C47" s="7" t="s">
        <v>283</v>
      </c>
      <c r="D47" s="8">
        <v>0.0</v>
      </c>
      <c r="E47" s="8" t="s">
        <v>48</v>
      </c>
      <c r="F47" s="9"/>
      <c r="G47" s="10"/>
      <c r="H47" s="7"/>
      <c r="I47" s="7"/>
      <c r="J47" s="10"/>
      <c r="K47" s="10"/>
      <c r="L47" s="10"/>
      <c r="M47" s="10"/>
      <c r="N47" s="7"/>
      <c r="O47" s="7"/>
      <c r="P47" s="7" t="str">
        <f t="shared" si="2"/>
        <v>No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10"/>
      <c r="AN47" s="7"/>
      <c r="AO47" s="7">
        <v>45757.0</v>
      </c>
      <c r="AP47" s="7">
        <v>46028.0</v>
      </c>
      <c r="AQ47" s="7">
        <v>45727.0</v>
      </c>
      <c r="AR47" s="7">
        <v>46091.0</v>
      </c>
      <c r="AS47" s="7"/>
      <c r="AT47" s="7"/>
    </row>
    <row r="48" ht="30.0" customHeight="1">
      <c r="A48" s="6" t="s">
        <v>284</v>
      </c>
      <c r="B48" s="7" t="s">
        <v>284</v>
      </c>
      <c r="C48" s="7" t="s">
        <v>284</v>
      </c>
      <c r="D48" s="8">
        <v>0.0</v>
      </c>
      <c r="E48" s="8" t="s">
        <v>48</v>
      </c>
      <c r="F48" s="9"/>
      <c r="G48" s="10"/>
      <c r="H48" s="7"/>
      <c r="I48" s="7" t="s">
        <v>80</v>
      </c>
      <c r="J48" s="10"/>
      <c r="K48" s="10"/>
      <c r="L48" s="10"/>
      <c r="M48" s="10"/>
      <c r="N48" s="7"/>
      <c r="O48" s="7"/>
      <c r="P48" s="7" t="str">
        <f t="shared" si="2"/>
        <v>No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10"/>
      <c r="AN48" s="7" t="s">
        <v>134</v>
      </c>
      <c r="AO48" s="7">
        <v>44408.0</v>
      </c>
      <c r="AP48" s="7">
        <v>46073.0</v>
      </c>
      <c r="AQ48" s="7">
        <v>44268.0</v>
      </c>
      <c r="AR48" s="7">
        <v>46073.0</v>
      </c>
      <c r="AS48" s="7"/>
      <c r="AT48" s="7"/>
    </row>
    <row r="49" ht="15.75" customHeight="1">
      <c r="A49" s="6" t="s">
        <v>285</v>
      </c>
      <c r="B49" s="7" t="s">
        <v>285</v>
      </c>
      <c r="C49" s="7" t="s">
        <v>285</v>
      </c>
      <c r="D49" s="8">
        <v>0.0</v>
      </c>
      <c r="E49" s="8" t="s">
        <v>48</v>
      </c>
      <c r="F49" s="9"/>
      <c r="G49" s="10"/>
      <c r="H49" s="7"/>
      <c r="I49" s="7" t="s">
        <v>80</v>
      </c>
      <c r="J49" s="10"/>
      <c r="K49" s="10"/>
      <c r="L49" s="10"/>
      <c r="M49" s="10"/>
      <c r="N49" s="7"/>
      <c r="O49" s="7"/>
      <c r="P49" s="7" t="str">
        <f t="shared" si="2"/>
        <v>No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0"/>
      <c r="AN49" s="7" t="s">
        <v>134</v>
      </c>
      <c r="AO49" s="7">
        <v>45742.0</v>
      </c>
      <c r="AP49" s="7">
        <v>46073.0</v>
      </c>
      <c r="AQ49" s="7">
        <v>43073.0</v>
      </c>
      <c r="AR49" s="7">
        <v>46073.0</v>
      </c>
      <c r="AS49" s="7"/>
      <c r="AT49" s="7"/>
    </row>
    <row r="50" ht="15.75" customHeight="1">
      <c r="A50" s="6" t="s">
        <v>286</v>
      </c>
      <c r="B50" s="13" t="s">
        <v>287</v>
      </c>
      <c r="C50" s="7" t="s">
        <v>286</v>
      </c>
      <c r="D50" s="8">
        <v>0.0</v>
      </c>
      <c r="E50" s="8" t="s">
        <v>48</v>
      </c>
      <c r="F50" s="9"/>
      <c r="G50" s="10"/>
      <c r="H50" s="7" t="s">
        <v>288</v>
      </c>
      <c r="I50" s="7" t="s">
        <v>89</v>
      </c>
      <c r="J50" s="10">
        <v>257113.0</v>
      </c>
      <c r="K50" s="10">
        <v>265933.0</v>
      </c>
      <c r="L50" s="10"/>
      <c r="M50" s="10">
        <v>431978.0</v>
      </c>
      <c r="N50" s="7"/>
      <c r="O50" s="7"/>
      <c r="P50" s="7" t="str">
        <f t="shared" si="2"/>
        <v>No</v>
      </c>
      <c r="Q50" s="7"/>
      <c r="R50" s="7" t="s">
        <v>289</v>
      </c>
      <c r="S50" s="7" t="s">
        <v>290</v>
      </c>
      <c r="T50" s="7"/>
      <c r="U50" s="7"/>
      <c r="V50" s="7" t="s">
        <v>291</v>
      </c>
      <c r="W50" s="7"/>
      <c r="X50" s="7" t="s">
        <v>292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 t="s">
        <v>293</v>
      </c>
      <c r="AL50" s="7" t="s">
        <v>128</v>
      </c>
      <c r="AM50" s="10"/>
      <c r="AN50" s="7" t="s">
        <v>63</v>
      </c>
      <c r="AO50" s="7">
        <v>45875.0</v>
      </c>
      <c r="AP50" s="7">
        <v>46001.0</v>
      </c>
      <c r="AQ50" s="7">
        <v>37026.0</v>
      </c>
      <c r="AR50" s="7">
        <v>46095.0</v>
      </c>
      <c r="AS50" s="7"/>
      <c r="AT50" s="7" t="s">
        <v>129</v>
      </c>
    </row>
    <row r="51" ht="15.75" customHeight="1">
      <c r="A51" s="6" t="s">
        <v>294</v>
      </c>
      <c r="B51" s="7" t="s">
        <v>294</v>
      </c>
      <c r="C51" s="7" t="s">
        <v>294</v>
      </c>
      <c r="D51" s="8">
        <v>0.0</v>
      </c>
      <c r="E51" s="8" t="s">
        <v>48</v>
      </c>
      <c r="F51" s="9"/>
      <c r="G51" s="10"/>
      <c r="H51" s="7" t="s">
        <v>295</v>
      </c>
      <c r="I51" s="7" t="s">
        <v>80</v>
      </c>
      <c r="J51" s="10"/>
      <c r="K51" s="10"/>
      <c r="L51" s="10"/>
      <c r="M51" s="10">
        <v>5.4298638E7</v>
      </c>
      <c r="N51" s="7"/>
      <c r="O51" s="7"/>
      <c r="P51" s="7" t="str">
        <f t="shared" si="2"/>
        <v>No</v>
      </c>
      <c r="Q51" s="7" t="s">
        <v>296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10"/>
      <c r="AN51" s="7" t="s">
        <v>134</v>
      </c>
      <c r="AO51" s="7">
        <v>44722.0</v>
      </c>
      <c r="AP51" s="7">
        <v>46073.0</v>
      </c>
      <c r="AQ51" s="7">
        <v>42175.0</v>
      </c>
      <c r="AR51" s="7">
        <v>46073.0</v>
      </c>
      <c r="AS51" s="7"/>
      <c r="AT51" s="7"/>
    </row>
    <row r="52" ht="15.75" customHeight="1">
      <c r="A52" s="6" t="s">
        <v>297</v>
      </c>
      <c r="B52" s="7" t="s">
        <v>297</v>
      </c>
      <c r="C52" s="7" t="s">
        <v>297</v>
      </c>
      <c r="D52" s="8">
        <v>0.0</v>
      </c>
      <c r="E52" s="8" t="s">
        <v>48</v>
      </c>
      <c r="F52" s="9"/>
      <c r="G52" s="10"/>
      <c r="H52" s="7"/>
      <c r="I52" s="7"/>
      <c r="J52" s="10"/>
      <c r="K52" s="10"/>
      <c r="L52" s="10"/>
      <c r="M52" s="10">
        <v>9.1036477E7</v>
      </c>
      <c r="N52" s="7"/>
      <c r="O52" s="7"/>
      <c r="P52" s="7" t="str">
        <f t="shared" si="2"/>
        <v>No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0"/>
      <c r="AN52" s="7"/>
      <c r="AO52" s="7">
        <v>45581.0</v>
      </c>
      <c r="AP52" s="7">
        <v>46073.0</v>
      </c>
      <c r="AQ52" s="7">
        <v>45499.0</v>
      </c>
      <c r="AR52" s="7">
        <v>46073.0</v>
      </c>
      <c r="AS52" s="7"/>
      <c r="AT52" s="7"/>
    </row>
    <row r="53" ht="15.75" customHeight="1">
      <c r="A53" s="6" t="s">
        <v>298</v>
      </c>
      <c r="B53" s="7" t="s">
        <v>298</v>
      </c>
      <c r="C53" s="7" t="s">
        <v>298</v>
      </c>
      <c r="D53" s="8">
        <v>0.0</v>
      </c>
      <c r="E53" s="8" t="s">
        <v>48</v>
      </c>
      <c r="F53" s="9"/>
      <c r="G53" s="10"/>
      <c r="H53" s="7" t="s">
        <v>299</v>
      </c>
      <c r="I53" s="7" t="s">
        <v>59</v>
      </c>
      <c r="J53" s="10"/>
      <c r="K53" s="10"/>
      <c r="L53" s="10"/>
      <c r="M53" s="10">
        <v>3.8011405E7</v>
      </c>
      <c r="N53" s="7"/>
      <c r="O53" s="7"/>
      <c r="P53" s="7" t="str">
        <f t="shared" si="2"/>
        <v>No</v>
      </c>
      <c r="Q53" s="7" t="s">
        <v>300</v>
      </c>
      <c r="R53" s="7" t="s">
        <v>301</v>
      </c>
      <c r="S53" s="7" t="s">
        <v>302</v>
      </c>
      <c r="T53" s="7"/>
      <c r="U53" s="7"/>
      <c r="V53" s="7"/>
      <c r="W53" s="7"/>
      <c r="X53" s="7" t="s">
        <v>303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 t="s">
        <v>304</v>
      </c>
      <c r="AL53" s="7" t="s">
        <v>305</v>
      </c>
      <c r="AM53" s="10">
        <v>11500.0</v>
      </c>
      <c r="AN53" s="7" t="s">
        <v>281</v>
      </c>
      <c r="AO53" s="7">
        <v>44466.0</v>
      </c>
      <c r="AP53" s="7">
        <v>46073.0</v>
      </c>
      <c r="AQ53" s="7">
        <v>42359.0</v>
      </c>
      <c r="AR53" s="7">
        <v>46073.0</v>
      </c>
      <c r="AS53" s="7"/>
      <c r="AT53" s="7" t="s">
        <v>282</v>
      </c>
    </row>
    <row r="54" ht="60.0" customHeight="1">
      <c r="A54" s="6" t="s">
        <v>306</v>
      </c>
      <c r="B54" s="7" t="s">
        <v>306</v>
      </c>
      <c r="C54" s="7" t="s">
        <v>306</v>
      </c>
      <c r="D54" s="8">
        <v>897.0</v>
      </c>
      <c r="E54" s="8" t="s">
        <v>48</v>
      </c>
      <c r="F54" s="9"/>
      <c r="G54" s="10"/>
      <c r="H54" s="7"/>
      <c r="I54" s="7"/>
      <c r="J54" s="10"/>
      <c r="K54" s="10"/>
      <c r="L54" s="10"/>
      <c r="M54" s="10"/>
      <c r="N54" s="7"/>
      <c r="O54" s="7"/>
      <c r="P54" s="7" t="str">
        <f t="shared" si="2"/>
        <v>No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0"/>
      <c r="AN54" s="7"/>
      <c r="AO54" s="7">
        <v>45943.0</v>
      </c>
      <c r="AP54" s="7">
        <v>46073.0</v>
      </c>
      <c r="AQ54" s="7">
        <v>45877.0</v>
      </c>
      <c r="AR54" s="7">
        <v>46241.0</v>
      </c>
      <c r="AS54" s="7"/>
      <c r="AT54" s="7"/>
    </row>
    <row r="55" ht="75.0" customHeight="1">
      <c r="A55" s="6" t="s">
        <v>307</v>
      </c>
      <c r="B55" s="7" t="s">
        <v>307</v>
      </c>
      <c r="C55" s="7" t="s">
        <v>307</v>
      </c>
      <c r="D55" s="8">
        <v>897.0</v>
      </c>
      <c r="E55" s="8" t="s">
        <v>48</v>
      </c>
      <c r="F55" s="9"/>
      <c r="G55" s="10"/>
      <c r="H55" s="7"/>
      <c r="I55" s="7" t="s">
        <v>80</v>
      </c>
      <c r="J55" s="10"/>
      <c r="K55" s="10"/>
      <c r="L55" s="10"/>
      <c r="M55" s="10"/>
      <c r="N55" s="7"/>
      <c r="O55" s="7"/>
      <c r="P55" s="7" t="str">
        <f t="shared" si="2"/>
        <v>No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0"/>
      <c r="AN55" s="7" t="s">
        <v>134</v>
      </c>
      <c r="AO55" s="7">
        <v>43567.0</v>
      </c>
      <c r="AP55" s="7">
        <v>46073.0</v>
      </c>
      <c r="AQ55" s="7">
        <v>43526.0</v>
      </c>
      <c r="AR55" s="7">
        <v>46073.0</v>
      </c>
      <c r="AS55" s="7"/>
      <c r="AT55" s="7"/>
    </row>
    <row r="56" ht="315.0" customHeight="1">
      <c r="A56" s="6" t="s">
        <v>308</v>
      </c>
      <c r="B56" s="7" t="s">
        <v>308</v>
      </c>
      <c r="C56" s="7" t="s">
        <v>308</v>
      </c>
      <c r="D56" s="8">
        <v>897.0</v>
      </c>
      <c r="E56" s="8" t="s">
        <v>48</v>
      </c>
      <c r="F56" s="9"/>
      <c r="G56" s="10"/>
      <c r="H56" s="7"/>
      <c r="I56" s="7"/>
      <c r="J56" s="10"/>
      <c r="K56" s="10"/>
      <c r="L56" s="10"/>
      <c r="M56" s="10"/>
      <c r="N56" s="7"/>
      <c r="O56" s="7"/>
      <c r="P56" s="7" t="str">
        <f t="shared" si="2"/>
        <v>No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10"/>
      <c r="AN56" s="7"/>
      <c r="AO56" s="7">
        <v>45773.0</v>
      </c>
      <c r="AP56" s="7">
        <v>46073.0</v>
      </c>
      <c r="AQ56" s="7">
        <v>45426.0</v>
      </c>
      <c r="AR56" s="7">
        <v>46073.0</v>
      </c>
      <c r="AS56" s="7"/>
      <c r="AT56" s="7"/>
    </row>
    <row r="57" ht="15.75" customHeight="1">
      <c r="A57" s="6" t="s">
        <v>309</v>
      </c>
      <c r="B57" s="7" t="s">
        <v>309</v>
      </c>
      <c r="C57" s="7" t="s">
        <v>309</v>
      </c>
      <c r="D57" s="8">
        <v>897.0</v>
      </c>
      <c r="E57" s="8" t="s">
        <v>48</v>
      </c>
      <c r="F57" s="9"/>
      <c r="G57" s="10"/>
      <c r="H57" s="7"/>
      <c r="I57" s="7" t="s">
        <v>80</v>
      </c>
      <c r="J57" s="10"/>
      <c r="K57" s="10"/>
      <c r="L57" s="10"/>
      <c r="M57" s="10"/>
      <c r="N57" s="7"/>
      <c r="O57" s="7"/>
      <c r="P57" s="7" t="str">
        <f t="shared" si="2"/>
        <v>No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10"/>
      <c r="AN57" s="7" t="s">
        <v>134</v>
      </c>
      <c r="AO57" s="7">
        <v>44615.0</v>
      </c>
      <c r="AP57" s="7">
        <v>46073.0</v>
      </c>
      <c r="AQ57" s="7">
        <v>44599.0</v>
      </c>
      <c r="AR57" s="7">
        <v>46073.0</v>
      </c>
      <c r="AS57" s="7"/>
      <c r="AT57" s="7"/>
    </row>
    <row r="58" ht="15.75" customHeight="1">
      <c r="A58" s="6" t="s">
        <v>310</v>
      </c>
      <c r="B58" s="7" t="s">
        <v>310</v>
      </c>
      <c r="C58" s="7" t="s">
        <v>310</v>
      </c>
      <c r="D58" s="8">
        <v>897.0</v>
      </c>
      <c r="E58" s="8" t="s">
        <v>48</v>
      </c>
      <c r="F58" s="9"/>
      <c r="G58" s="10"/>
      <c r="H58" s="7"/>
      <c r="I58" s="7"/>
      <c r="J58" s="10"/>
      <c r="K58" s="10"/>
      <c r="L58" s="10"/>
      <c r="M58" s="10"/>
      <c r="N58" s="7"/>
      <c r="O58" s="7"/>
      <c r="P58" s="7" t="str">
        <f t="shared" si="2"/>
        <v>No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10"/>
      <c r="AN58" s="7"/>
      <c r="AO58" s="7">
        <v>46021.0</v>
      </c>
      <c r="AP58" s="7">
        <v>46073.0</v>
      </c>
      <c r="AQ58" s="7">
        <v>45992.0</v>
      </c>
      <c r="AR58" s="7">
        <v>46356.0</v>
      </c>
      <c r="AS58" s="7"/>
      <c r="AT58" s="7"/>
    </row>
    <row r="59" ht="15.75" customHeight="1">
      <c r="A59" s="6" t="s">
        <v>311</v>
      </c>
      <c r="B59" s="7" t="s">
        <v>311</v>
      </c>
      <c r="C59" s="7" t="s">
        <v>311</v>
      </c>
      <c r="D59" s="8">
        <v>897.0</v>
      </c>
      <c r="E59" s="8" t="s">
        <v>48</v>
      </c>
      <c r="F59" s="9"/>
      <c r="G59" s="10"/>
      <c r="H59" s="7"/>
      <c r="I59" s="7" t="s">
        <v>132</v>
      </c>
      <c r="J59" s="10"/>
      <c r="K59" s="10"/>
      <c r="L59" s="10"/>
      <c r="M59" s="10"/>
      <c r="N59" s="7"/>
      <c r="O59" s="7"/>
      <c r="P59" s="7" t="str">
        <f t="shared" si="2"/>
        <v>No</v>
      </c>
      <c r="Q59" s="7"/>
      <c r="R59" s="7"/>
      <c r="S59" s="7" t="s">
        <v>312</v>
      </c>
      <c r="T59" s="7"/>
      <c r="U59" s="7"/>
      <c r="V59" s="7"/>
      <c r="W59" s="7"/>
      <c r="X59" s="7" t="s">
        <v>313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10"/>
      <c r="AN59" s="7" t="s">
        <v>134</v>
      </c>
      <c r="AO59" s="7">
        <v>45895.0</v>
      </c>
      <c r="AP59" s="7">
        <v>46073.0</v>
      </c>
      <c r="AQ59" s="7">
        <v>45461.0</v>
      </c>
      <c r="AR59" s="7">
        <v>46073.0</v>
      </c>
      <c r="AS59" s="7"/>
      <c r="AT59" s="7"/>
    </row>
    <row r="60" ht="15.75" customHeight="1">
      <c r="A60" s="6" t="s">
        <v>314</v>
      </c>
      <c r="B60" s="7" t="s">
        <v>314</v>
      </c>
      <c r="C60" s="7" t="s">
        <v>314</v>
      </c>
      <c r="D60" s="8">
        <v>897.0</v>
      </c>
      <c r="E60" s="8" t="s">
        <v>48</v>
      </c>
      <c r="F60" s="9"/>
      <c r="G60" s="10"/>
      <c r="H60" s="7"/>
      <c r="I60" s="7" t="s">
        <v>80</v>
      </c>
      <c r="J60" s="10"/>
      <c r="K60" s="10"/>
      <c r="L60" s="10"/>
      <c r="M60" s="10"/>
      <c r="N60" s="7"/>
      <c r="O60" s="7"/>
      <c r="P60" s="7" t="str">
        <f t="shared" si="2"/>
        <v>No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10"/>
      <c r="AN60" s="7" t="s">
        <v>134</v>
      </c>
      <c r="AO60" s="7">
        <v>44408.0</v>
      </c>
      <c r="AP60" s="7">
        <v>46073.0</v>
      </c>
      <c r="AQ60" s="7">
        <v>44408.0</v>
      </c>
      <c r="AR60" s="7">
        <v>46073.0</v>
      </c>
      <c r="AS60" s="7"/>
      <c r="AT60" s="7"/>
    </row>
    <row r="61" ht="105.0" customHeight="1">
      <c r="A61" s="6" t="s">
        <v>315</v>
      </c>
      <c r="B61" s="7" t="s">
        <v>315</v>
      </c>
      <c r="C61" s="7" t="s">
        <v>315</v>
      </c>
      <c r="D61" s="8">
        <v>3860.0</v>
      </c>
      <c r="E61" s="8" t="s">
        <v>48</v>
      </c>
      <c r="F61" s="9"/>
      <c r="G61" s="10"/>
      <c r="H61" s="7"/>
      <c r="I61" s="7"/>
      <c r="J61" s="10"/>
      <c r="K61" s="10"/>
      <c r="L61" s="10"/>
      <c r="M61" s="10"/>
      <c r="N61" s="7"/>
      <c r="O61" s="7"/>
      <c r="P61" s="7" t="str">
        <f t="shared" si="2"/>
        <v>No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0"/>
      <c r="AN61" s="7"/>
      <c r="AO61" s="7">
        <v>45943.0</v>
      </c>
      <c r="AP61" s="7">
        <v>46029.0</v>
      </c>
      <c r="AQ61" s="7">
        <v>45943.0</v>
      </c>
      <c r="AR61" s="7">
        <v>46029.0</v>
      </c>
      <c r="AS61" s="7"/>
      <c r="AT61" s="7"/>
    </row>
    <row r="62" ht="15.75" customHeight="1">
      <c r="A62" s="6" t="s">
        <v>316</v>
      </c>
      <c r="B62" s="7" t="s">
        <v>316</v>
      </c>
      <c r="C62" s="7" t="s">
        <v>316</v>
      </c>
      <c r="D62" s="8">
        <v>897.0</v>
      </c>
      <c r="E62" s="8" t="s">
        <v>48</v>
      </c>
      <c r="F62" s="9"/>
      <c r="G62" s="10"/>
      <c r="H62" s="7"/>
      <c r="I62" s="7"/>
      <c r="J62" s="10"/>
      <c r="K62" s="10"/>
      <c r="L62" s="10"/>
      <c r="M62" s="10"/>
      <c r="N62" s="7"/>
      <c r="O62" s="7"/>
      <c r="P62" s="7" t="str">
        <f t="shared" si="2"/>
        <v>No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10"/>
      <c r="AN62" s="7"/>
      <c r="AO62" s="7">
        <v>46009.0</v>
      </c>
      <c r="AP62" s="7">
        <v>46073.0</v>
      </c>
      <c r="AQ62" s="7">
        <v>45988.0</v>
      </c>
      <c r="AR62" s="7">
        <v>46352.0</v>
      </c>
      <c r="AS62" s="7"/>
      <c r="AT62" s="7"/>
    </row>
    <row r="63" ht="15.75" customHeight="1">
      <c r="A63" s="6" t="s">
        <v>317</v>
      </c>
      <c r="B63" s="7" t="s">
        <v>317</v>
      </c>
      <c r="C63" s="7" t="s">
        <v>317</v>
      </c>
      <c r="D63" s="8">
        <v>897.0</v>
      </c>
      <c r="E63" s="8" t="s">
        <v>48</v>
      </c>
      <c r="F63" s="9"/>
      <c r="G63" s="10"/>
      <c r="H63" s="7"/>
      <c r="I63" s="7" t="s">
        <v>80</v>
      </c>
      <c r="J63" s="10"/>
      <c r="K63" s="10"/>
      <c r="L63" s="10"/>
      <c r="M63" s="10"/>
      <c r="N63" s="7"/>
      <c r="O63" s="7"/>
      <c r="P63" s="7" t="str">
        <f t="shared" si="2"/>
        <v>No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10"/>
      <c r="AN63" s="7" t="s">
        <v>134</v>
      </c>
      <c r="AO63" s="7">
        <v>43779.0</v>
      </c>
      <c r="AP63" s="7">
        <v>46073.0</v>
      </c>
      <c r="AQ63" s="7">
        <v>43702.0</v>
      </c>
      <c r="AR63" s="7">
        <v>46073.0</v>
      </c>
      <c r="AS63" s="7"/>
      <c r="AT63" s="7"/>
    </row>
    <row r="64" ht="15.75" customHeight="1">
      <c r="A64" s="6" t="s">
        <v>318</v>
      </c>
      <c r="B64" s="7" t="s">
        <v>318</v>
      </c>
      <c r="C64" s="7" t="s">
        <v>319</v>
      </c>
      <c r="D64" s="8">
        <v>897.0</v>
      </c>
      <c r="E64" s="8" t="s">
        <v>48</v>
      </c>
      <c r="F64" s="9"/>
      <c r="G64" s="10"/>
      <c r="H64" s="7"/>
      <c r="I64" s="7"/>
      <c r="J64" s="10"/>
      <c r="K64" s="10"/>
      <c r="L64" s="10"/>
      <c r="M64" s="10"/>
      <c r="N64" s="7"/>
      <c r="O64" s="7"/>
      <c r="P64" s="7" t="str">
        <f t="shared" si="2"/>
        <v>No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10"/>
      <c r="AN64" s="7"/>
      <c r="AO64" s="7">
        <v>45871.0</v>
      </c>
      <c r="AP64" s="7">
        <v>46096.0</v>
      </c>
      <c r="AQ64" s="7">
        <v>45871.0</v>
      </c>
      <c r="AR64" s="7">
        <v>46096.0</v>
      </c>
      <c r="AS64" s="7"/>
      <c r="AT64" s="7"/>
    </row>
    <row r="65" ht="15.75" customHeight="1">
      <c r="A65" s="6" t="s">
        <v>320</v>
      </c>
      <c r="B65" s="7" t="s">
        <v>320</v>
      </c>
      <c r="C65" s="7" t="s">
        <v>320</v>
      </c>
      <c r="D65" s="8">
        <v>0.0</v>
      </c>
      <c r="E65" s="8" t="s">
        <v>48</v>
      </c>
      <c r="F65" s="9" t="s">
        <v>321</v>
      </c>
      <c r="G65" s="10"/>
      <c r="H65" s="7" t="s">
        <v>322</v>
      </c>
      <c r="I65" s="7" t="s">
        <v>205</v>
      </c>
      <c r="J65" s="10"/>
      <c r="K65" s="10"/>
      <c r="L65" s="10"/>
      <c r="M65" s="10">
        <v>5.9677013E7</v>
      </c>
      <c r="N65" s="7"/>
      <c r="O65" s="7"/>
      <c r="P65" s="7" t="str">
        <f t="shared" si="2"/>
        <v>No</v>
      </c>
      <c r="Q65" s="7" t="s">
        <v>323</v>
      </c>
      <c r="R65" s="7" t="s">
        <v>324</v>
      </c>
      <c r="S65" s="7" t="s">
        <v>325</v>
      </c>
      <c r="T65" s="7"/>
      <c r="U65" s="7"/>
      <c r="V65" s="7"/>
      <c r="W65" s="7"/>
      <c r="X65" s="7" t="s">
        <v>326</v>
      </c>
      <c r="Y65" s="7"/>
      <c r="Z65" s="7"/>
      <c r="AA65" s="7"/>
      <c r="AB65" s="7" t="s">
        <v>327</v>
      </c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10"/>
      <c r="AN65" s="7" t="s">
        <v>134</v>
      </c>
      <c r="AO65" s="7">
        <v>46029.0</v>
      </c>
      <c r="AP65" s="7">
        <v>46029.0</v>
      </c>
      <c r="AQ65" s="7">
        <v>44397.0</v>
      </c>
      <c r="AR65" s="7">
        <v>46052.0</v>
      </c>
      <c r="AS65" s="7"/>
      <c r="AT65" s="7"/>
    </row>
    <row r="66" ht="15.75" customHeight="1">
      <c r="A66" s="6" t="s">
        <v>328</v>
      </c>
      <c r="B66" s="7" t="s">
        <v>328</v>
      </c>
      <c r="C66" s="7" t="s">
        <v>329</v>
      </c>
      <c r="D66" s="8">
        <v>2462.0</v>
      </c>
      <c r="E66" s="8" t="s">
        <v>48</v>
      </c>
      <c r="F66" s="9"/>
      <c r="G66" s="10"/>
      <c r="H66" s="7"/>
      <c r="I66" s="7"/>
      <c r="J66" s="10"/>
      <c r="K66" s="10"/>
      <c r="L66" s="10"/>
      <c r="M66" s="10"/>
      <c r="N66" s="7"/>
      <c r="O66" s="7"/>
      <c r="P66" s="7" t="str">
        <f t="shared" si="2"/>
        <v>No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10"/>
      <c r="AN66" s="7"/>
      <c r="AO66" s="7">
        <v>45913.0</v>
      </c>
      <c r="AP66" s="7">
        <v>46073.0</v>
      </c>
      <c r="AQ66" s="7">
        <v>45588.0</v>
      </c>
      <c r="AR66" s="7">
        <v>46096.0</v>
      </c>
      <c r="AS66" s="7"/>
      <c r="AT66" s="7"/>
    </row>
    <row r="67" ht="45.0" customHeight="1">
      <c r="A67" s="6" t="s">
        <v>330</v>
      </c>
      <c r="B67" s="7" t="s">
        <v>330</v>
      </c>
      <c r="C67" s="7" t="s">
        <v>330</v>
      </c>
      <c r="D67" s="8">
        <v>3054.0</v>
      </c>
      <c r="E67" s="8" t="s">
        <v>48</v>
      </c>
      <c r="F67" s="9"/>
      <c r="G67" s="10"/>
      <c r="H67" s="7"/>
      <c r="I67" s="7"/>
      <c r="J67" s="10"/>
      <c r="K67" s="10"/>
      <c r="L67" s="10"/>
      <c r="M67" s="10"/>
      <c r="N67" s="7"/>
      <c r="O67" s="7"/>
      <c r="P67" s="7" t="str">
        <f t="shared" si="2"/>
        <v>No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10"/>
      <c r="AN67" s="7"/>
      <c r="AO67" s="7">
        <v>45981.0</v>
      </c>
      <c r="AP67" s="7">
        <v>46096.0</v>
      </c>
      <c r="AQ67" s="7">
        <v>45967.0</v>
      </c>
      <c r="AR67" s="7">
        <v>46331.0</v>
      </c>
      <c r="AS67" s="7"/>
      <c r="AT67" s="7"/>
    </row>
    <row r="68" ht="15.75" customHeight="1">
      <c r="A68" s="6" t="s">
        <v>331</v>
      </c>
      <c r="B68" s="7" t="s">
        <v>331</v>
      </c>
      <c r="C68" s="7" t="s">
        <v>331</v>
      </c>
      <c r="D68" s="8">
        <v>1054.0</v>
      </c>
      <c r="E68" s="8" t="s">
        <v>48</v>
      </c>
      <c r="F68" s="9"/>
      <c r="G68" s="10"/>
      <c r="H68" s="7"/>
      <c r="I68" s="7" t="s">
        <v>332</v>
      </c>
      <c r="J68" s="10"/>
      <c r="K68" s="10"/>
      <c r="L68" s="10"/>
      <c r="M68" s="10"/>
      <c r="N68" s="7"/>
      <c r="O68" s="7"/>
      <c r="P68" s="7" t="str">
        <f t="shared" si="2"/>
        <v>No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 t="s">
        <v>333</v>
      </c>
      <c r="AL68" s="7" t="s">
        <v>100</v>
      </c>
      <c r="AM68" s="10">
        <v>28224.0</v>
      </c>
      <c r="AN68" s="7" t="s">
        <v>281</v>
      </c>
      <c r="AO68" s="7">
        <v>43315.0</v>
      </c>
      <c r="AP68" s="7">
        <v>46073.0</v>
      </c>
      <c r="AQ68" s="7">
        <v>42794.0</v>
      </c>
      <c r="AR68" s="7">
        <v>46073.0</v>
      </c>
      <c r="AS68" s="7"/>
      <c r="AT68" s="7" t="s">
        <v>282</v>
      </c>
    </row>
    <row r="69" ht="15.75" customHeight="1">
      <c r="A69" s="6" t="s">
        <v>334</v>
      </c>
      <c r="B69" s="7" t="s">
        <v>334</v>
      </c>
      <c r="C69" s="7" t="s">
        <v>334</v>
      </c>
      <c r="D69" s="8">
        <v>0.0</v>
      </c>
      <c r="E69" s="8">
        <v>29133.0</v>
      </c>
      <c r="F69" s="9">
        <v>9.0</v>
      </c>
      <c r="G69" s="10"/>
      <c r="H69" s="7"/>
      <c r="I69" s="7" t="s">
        <v>132</v>
      </c>
      <c r="J69" s="10"/>
      <c r="K69" s="10"/>
      <c r="L69" s="10"/>
      <c r="M69" s="10"/>
      <c r="N69" s="7"/>
      <c r="O69" s="7"/>
      <c r="P69" s="7" t="str">
        <f t="shared" si="2"/>
        <v>No</v>
      </c>
      <c r="Q69" s="7"/>
      <c r="R69" s="7"/>
      <c r="S69" s="7" t="s">
        <v>335</v>
      </c>
      <c r="T69" s="7"/>
      <c r="U69" s="7"/>
      <c r="V69" s="7"/>
      <c r="W69" s="7"/>
      <c r="X69" s="7" t="s">
        <v>336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0"/>
      <c r="AN69" s="7" t="s">
        <v>134</v>
      </c>
      <c r="AO69" s="7">
        <v>46073.0</v>
      </c>
      <c r="AP69" s="7">
        <v>46073.0</v>
      </c>
      <c r="AQ69" s="7">
        <v>45614.0</v>
      </c>
      <c r="AR69" s="7">
        <v>46073.0</v>
      </c>
      <c r="AS69" s="7"/>
      <c r="AT69" s="7"/>
    </row>
    <row r="70" ht="30.0" customHeight="1">
      <c r="A70" s="6" t="s">
        <v>337</v>
      </c>
      <c r="B70" s="7" t="s">
        <v>337</v>
      </c>
      <c r="C70" s="7" t="s">
        <v>337</v>
      </c>
      <c r="D70" s="8">
        <v>0.0</v>
      </c>
      <c r="E70" s="8" t="s">
        <v>48</v>
      </c>
      <c r="F70" s="9"/>
      <c r="G70" s="10"/>
      <c r="H70" s="7"/>
      <c r="I70" s="7"/>
      <c r="J70" s="10"/>
      <c r="K70" s="10"/>
      <c r="L70" s="10"/>
      <c r="M70" s="10"/>
      <c r="N70" s="7"/>
      <c r="O70" s="7"/>
      <c r="P70" s="7" t="str">
        <f t="shared" si="2"/>
        <v>No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0"/>
      <c r="AN70" s="7"/>
      <c r="AO70" s="7">
        <v>43246.0</v>
      </c>
      <c r="AP70" s="7">
        <v>46073.0</v>
      </c>
      <c r="AQ70" s="7">
        <v>43227.0</v>
      </c>
      <c r="AR70" s="7">
        <v>46073.0</v>
      </c>
      <c r="AS70" s="7"/>
      <c r="AT70" s="7"/>
    </row>
    <row r="71" ht="15.75" customHeight="1">
      <c r="A71" s="6" t="s">
        <v>338</v>
      </c>
      <c r="B71" s="7" t="s">
        <v>338</v>
      </c>
      <c r="C71" s="7" t="s">
        <v>338</v>
      </c>
      <c r="D71" s="8">
        <v>0.0</v>
      </c>
      <c r="E71" s="8" t="s">
        <v>48</v>
      </c>
      <c r="F71" s="9"/>
      <c r="G71" s="10"/>
      <c r="H71" s="7"/>
      <c r="I71" s="7"/>
      <c r="J71" s="10"/>
      <c r="K71" s="10"/>
      <c r="L71" s="10"/>
      <c r="M71" s="10"/>
      <c r="N71" s="7"/>
      <c r="O71" s="7"/>
      <c r="P71" s="7" t="str">
        <f t="shared" si="2"/>
        <v>No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0"/>
      <c r="AN71" s="7"/>
      <c r="AO71" s="7">
        <v>46073.0</v>
      </c>
      <c r="AP71" s="7">
        <v>46073.0</v>
      </c>
      <c r="AQ71" s="7">
        <v>45426.0</v>
      </c>
      <c r="AR71" s="7">
        <v>46414.0</v>
      </c>
      <c r="AS71" s="7"/>
      <c r="AT71" s="7"/>
    </row>
    <row r="72" ht="15.75" customHeight="1">
      <c r="A72" s="6" t="s">
        <v>339</v>
      </c>
      <c r="B72" s="7" t="s">
        <v>339</v>
      </c>
      <c r="C72" s="7" t="s">
        <v>339</v>
      </c>
      <c r="D72" s="8">
        <v>0.0</v>
      </c>
      <c r="E72" s="8" t="s">
        <v>48</v>
      </c>
      <c r="F72" s="9"/>
      <c r="G72" s="10"/>
      <c r="H72" s="7"/>
      <c r="I72" s="7"/>
      <c r="J72" s="10"/>
      <c r="K72" s="10"/>
      <c r="L72" s="10"/>
      <c r="M72" s="10">
        <v>1.0470789E8</v>
      </c>
      <c r="N72" s="7"/>
      <c r="O72" s="7"/>
      <c r="P72" s="7" t="str">
        <f t="shared" si="2"/>
        <v>No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10"/>
      <c r="AN72" s="7"/>
      <c r="AO72" s="7">
        <v>46029.0</v>
      </c>
      <c r="AP72" s="7">
        <v>46073.0</v>
      </c>
      <c r="AQ72" s="7">
        <v>45559.0</v>
      </c>
      <c r="AR72" s="7">
        <v>46073.0</v>
      </c>
      <c r="AS72" s="7"/>
      <c r="AT72" s="7"/>
    </row>
    <row r="73" ht="15.75" customHeight="1">
      <c r="A73" s="6" t="s">
        <v>340</v>
      </c>
      <c r="B73" s="7" t="s">
        <v>340</v>
      </c>
      <c r="C73" s="7" t="s">
        <v>340</v>
      </c>
      <c r="D73" s="8">
        <v>0.0</v>
      </c>
      <c r="E73" s="8" t="s">
        <v>48</v>
      </c>
      <c r="F73" s="9"/>
      <c r="G73" s="10"/>
      <c r="H73" s="7"/>
      <c r="I73" s="7" t="s">
        <v>80</v>
      </c>
      <c r="J73" s="10"/>
      <c r="K73" s="10"/>
      <c r="L73" s="10"/>
      <c r="M73" s="10"/>
      <c r="N73" s="7"/>
      <c r="O73" s="7"/>
      <c r="P73" s="7" t="str">
        <f t="shared" si="2"/>
        <v>No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 t="s">
        <v>341</v>
      </c>
      <c r="AL73" s="7" t="s">
        <v>154</v>
      </c>
      <c r="AM73" s="10">
        <v>85143.0</v>
      </c>
      <c r="AN73" s="7" t="s">
        <v>63</v>
      </c>
      <c r="AO73" s="7">
        <v>45152.0</v>
      </c>
      <c r="AP73" s="7">
        <v>45979.0</v>
      </c>
      <c r="AQ73" s="7">
        <v>44915.0</v>
      </c>
      <c r="AR73" s="7">
        <v>46073.0</v>
      </c>
      <c r="AS73" s="7"/>
      <c r="AT73" s="7"/>
    </row>
    <row r="74" ht="15.75" customHeight="1">
      <c r="A74" s="6" t="s">
        <v>342</v>
      </c>
      <c r="B74" s="7" t="s">
        <v>342</v>
      </c>
      <c r="C74" s="7" t="s">
        <v>342</v>
      </c>
      <c r="D74" s="8">
        <v>897.0</v>
      </c>
      <c r="E74" s="8" t="s">
        <v>48</v>
      </c>
      <c r="F74" s="9"/>
      <c r="G74" s="10"/>
      <c r="H74" s="7"/>
      <c r="I74" s="7"/>
      <c r="J74" s="10"/>
      <c r="K74" s="10"/>
      <c r="L74" s="10"/>
      <c r="M74" s="10"/>
      <c r="N74" s="7"/>
      <c r="O74" s="7"/>
      <c r="P74" s="7" t="str">
        <f t="shared" si="2"/>
        <v>No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10"/>
      <c r="AN74" s="7"/>
      <c r="AO74" s="7">
        <v>46006.0</v>
      </c>
      <c r="AP74" s="7">
        <v>46073.0</v>
      </c>
      <c r="AQ74" s="7">
        <v>46006.0</v>
      </c>
      <c r="AR74" s="7">
        <v>46073.0</v>
      </c>
      <c r="AS74" s="7"/>
      <c r="AT74" s="7"/>
    </row>
    <row r="75" ht="15.75" customHeight="1">
      <c r="A75" s="6" t="s">
        <v>343</v>
      </c>
      <c r="B75" s="7" t="s">
        <v>343</v>
      </c>
      <c r="C75" s="7" t="s">
        <v>343</v>
      </c>
      <c r="D75" s="8">
        <v>0.0</v>
      </c>
      <c r="E75" s="8" t="s">
        <v>48</v>
      </c>
      <c r="F75" s="9"/>
      <c r="G75" s="10"/>
      <c r="H75" s="7"/>
      <c r="I75" s="7"/>
      <c r="J75" s="10"/>
      <c r="K75" s="10"/>
      <c r="L75" s="10"/>
      <c r="M75" s="10"/>
      <c r="N75" s="7"/>
      <c r="O75" s="7"/>
      <c r="P75" s="7" t="str">
        <f t="shared" si="2"/>
        <v>No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10"/>
      <c r="AN75" s="7"/>
      <c r="AO75" s="7">
        <v>45743.0</v>
      </c>
      <c r="AP75" s="7">
        <v>45995.0</v>
      </c>
      <c r="AQ75" s="7">
        <v>44397.0</v>
      </c>
      <c r="AR75" s="7">
        <v>46073.0</v>
      </c>
      <c r="AS75" s="7"/>
      <c r="AT75" s="7"/>
    </row>
    <row r="76" ht="15.75" customHeight="1">
      <c r="A76" s="6" t="s">
        <v>344</v>
      </c>
      <c r="B76" s="7" t="s">
        <v>344</v>
      </c>
      <c r="C76" s="7" t="s">
        <v>344</v>
      </c>
      <c r="D76" s="8">
        <v>897.0</v>
      </c>
      <c r="E76" s="8" t="s">
        <v>48</v>
      </c>
      <c r="F76" s="9"/>
      <c r="G76" s="10"/>
      <c r="H76" s="7"/>
      <c r="I76" s="7" t="s">
        <v>80</v>
      </c>
      <c r="J76" s="10"/>
      <c r="K76" s="10"/>
      <c r="L76" s="10"/>
      <c r="M76" s="10"/>
      <c r="N76" s="7"/>
      <c r="O76" s="7"/>
      <c r="P76" s="7" t="str">
        <f t="shared" si="2"/>
        <v>No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0"/>
      <c r="AN76" s="7" t="s">
        <v>134</v>
      </c>
      <c r="AO76" s="7">
        <v>42550.0</v>
      </c>
      <c r="AP76" s="7">
        <v>46073.0</v>
      </c>
      <c r="AQ76" s="7">
        <v>42550.0</v>
      </c>
      <c r="AR76" s="7">
        <v>46073.0</v>
      </c>
      <c r="AS76" s="7"/>
      <c r="AT76" s="7"/>
    </row>
    <row r="77" ht="15.75" customHeight="1">
      <c r="A77" s="6" t="s">
        <v>345</v>
      </c>
      <c r="B77" s="7" t="s">
        <v>345</v>
      </c>
      <c r="C77" s="7" t="s">
        <v>345</v>
      </c>
      <c r="D77" s="8">
        <v>2658.0</v>
      </c>
      <c r="E77" s="8" t="s">
        <v>48</v>
      </c>
      <c r="F77" s="9"/>
      <c r="G77" s="10"/>
      <c r="H77" s="7" t="s">
        <v>346</v>
      </c>
      <c r="I77" s="7" t="s">
        <v>164</v>
      </c>
      <c r="J77" s="10"/>
      <c r="K77" s="10"/>
      <c r="L77" s="10"/>
      <c r="M77" s="10">
        <v>7454097.0</v>
      </c>
      <c r="N77" s="7"/>
      <c r="O77" s="7"/>
      <c r="P77" s="7" t="str">
        <f t="shared" si="2"/>
        <v>No</v>
      </c>
      <c r="Q77" s="7"/>
      <c r="R77" s="7"/>
      <c r="S77" s="7" t="s">
        <v>347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 t="s">
        <v>348</v>
      </c>
      <c r="AL77" s="7" t="s">
        <v>348</v>
      </c>
      <c r="AM77" s="10">
        <v>238868.0</v>
      </c>
      <c r="AN77" s="7" t="s">
        <v>349</v>
      </c>
      <c r="AO77" s="7">
        <v>41906.0</v>
      </c>
      <c r="AP77" s="7">
        <v>46096.0</v>
      </c>
      <c r="AQ77" s="7">
        <v>39247.0</v>
      </c>
      <c r="AR77" s="7">
        <v>46096.0</v>
      </c>
      <c r="AS77" s="7"/>
      <c r="AT77" s="7"/>
    </row>
    <row r="78" ht="15.75" customHeight="1">
      <c r="A78" s="6" t="s">
        <v>350</v>
      </c>
      <c r="B78" s="7" t="s">
        <v>350</v>
      </c>
      <c r="C78" s="7" t="s">
        <v>350</v>
      </c>
      <c r="D78" s="8">
        <v>0.0</v>
      </c>
      <c r="E78" s="8" t="s">
        <v>48</v>
      </c>
      <c r="F78" s="9"/>
      <c r="G78" s="10"/>
      <c r="H78" s="7"/>
      <c r="I78" s="7"/>
      <c r="J78" s="10"/>
      <c r="K78" s="10"/>
      <c r="L78" s="10"/>
      <c r="M78" s="10"/>
      <c r="N78" s="7"/>
      <c r="O78" s="7"/>
      <c r="P78" s="7" t="str">
        <f t="shared" si="2"/>
        <v>No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0"/>
      <c r="AN78" s="7"/>
      <c r="AO78" s="7">
        <v>45943.0</v>
      </c>
      <c r="AP78" s="7">
        <v>45943.0</v>
      </c>
      <c r="AQ78" s="7">
        <v>45943.0</v>
      </c>
      <c r="AR78" s="7">
        <v>46073.0</v>
      </c>
      <c r="AS78" s="7"/>
      <c r="AT78" s="7"/>
    </row>
    <row r="79" ht="15.75" customHeight="1">
      <c r="A79" s="6" t="s">
        <v>351</v>
      </c>
      <c r="B79" s="7" t="s">
        <v>351</v>
      </c>
      <c r="C79" s="7" t="s">
        <v>351</v>
      </c>
      <c r="D79" s="8">
        <v>1137.0</v>
      </c>
      <c r="E79" s="8" t="s">
        <v>48</v>
      </c>
      <c r="F79" s="9"/>
      <c r="G79" s="10"/>
      <c r="H79" s="7"/>
      <c r="I79" s="7" t="s">
        <v>352</v>
      </c>
      <c r="J79" s="10"/>
      <c r="K79" s="10"/>
      <c r="L79" s="10"/>
      <c r="M79" s="10"/>
      <c r="N79" s="7"/>
      <c r="O79" s="7"/>
      <c r="P79" s="7" t="str">
        <f t="shared" si="2"/>
        <v>No</v>
      </c>
      <c r="Q79" s="7"/>
      <c r="R79" s="7"/>
      <c r="S79" s="7"/>
      <c r="T79" s="7"/>
      <c r="U79" s="7"/>
      <c r="V79" s="7"/>
      <c r="W79" s="7"/>
      <c r="X79" s="7" t="s">
        <v>353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0"/>
      <c r="AN79" s="7" t="s">
        <v>134</v>
      </c>
      <c r="AO79" s="7">
        <v>45153.0</v>
      </c>
      <c r="AP79" s="7">
        <v>46073.0</v>
      </c>
      <c r="AQ79" s="7">
        <v>45124.0</v>
      </c>
      <c r="AR79" s="7">
        <v>46073.0</v>
      </c>
      <c r="AS79" s="7"/>
      <c r="AT79" s="7"/>
    </row>
    <row r="80" ht="45.0" customHeight="1">
      <c r="A80" s="6" t="s">
        <v>354</v>
      </c>
      <c r="B80" s="7" t="s">
        <v>354</v>
      </c>
      <c r="C80" s="7" t="s">
        <v>354</v>
      </c>
      <c r="D80" s="8">
        <v>897.0</v>
      </c>
      <c r="E80" s="8" t="s">
        <v>48</v>
      </c>
      <c r="F80" s="9"/>
      <c r="G80" s="10"/>
      <c r="H80" s="7"/>
      <c r="I80" s="7" t="s">
        <v>132</v>
      </c>
      <c r="J80" s="10"/>
      <c r="K80" s="10"/>
      <c r="L80" s="10"/>
      <c r="M80" s="10">
        <v>9.5298375E7</v>
      </c>
      <c r="N80" s="7"/>
      <c r="O80" s="7"/>
      <c r="P80" s="7" t="str">
        <f t="shared" si="2"/>
        <v>No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 t="s">
        <v>355</v>
      </c>
      <c r="AL80" s="7" t="s">
        <v>172</v>
      </c>
      <c r="AM80" s="10">
        <v>1588.0</v>
      </c>
      <c r="AN80" s="7" t="s">
        <v>63</v>
      </c>
      <c r="AO80" s="7">
        <v>43375.0</v>
      </c>
      <c r="AP80" s="7">
        <v>46073.0</v>
      </c>
      <c r="AQ80" s="7">
        <v>43375.0</v>
      </c>
      <c r="AR80" s="7">
        <v>46073.0</v>
      </c>
      <c r="AS80" s="7"/>
      <c r="AT80" s="7"/>
    </row>
    <row r="81" ht="15.75" customHeight="1">
      <c r="A81" s="6" t="s">
        <v>356</v>
      </c>
      <c r="B81" s="7" t="s">
        <v>356</v>
      </c>
      <c r="C81" s="7" t="s">
        <v>356</v>
      </c>
      <c r="D81" s="8">
        <v>1234.0</v>
      </c>
      <c r="E81" s="8" t="s">
        <v>48</v>
      </c>
      <c r="F81" s="9"/>
      <c r="G81" s="10"/>
      <c r="H81" s="7"/>
      <c r="I81" s="7"/>
      <c r="J81" s="10"/>
      <c r="K81" s="10"/>
      <c r="L81" s="10"/>
      <c r="M81" s="10"/>
      <c r="N81" s="7"/>
      <c r="O81" s="7"/>
      <c r="P81" s="7" t="str">
        <f t="shared" si="2"/>
        <v>No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0"/>
      <c r="AN81" s="7"/>
      <c r="AO81" s="7">
        <v>45748.0</v>
      </c>
      <c r="AP81" s="7">
        <v>46073.0</v>
      </c>
      <c r="AQ81" s="7">
        <v>45675.0</v>
      </c>
      <c r="AR81" s="7">
        <v>46073.0</v>
      </c>
      <c r="AS81" s="7"/>
      <c r="AT81" s="7"/>
    </row>
    <row r="82" ht="30.0" customHeight="1">
      <c r="A82" s="6" t="s">
        <v>357</v>
      </c>
      <c r="B82" s="7" t="s">
        <v>357</v>
      </c>
      <c r="C82" s="7" t="s">
        <v>357</v>
      </c>
      <c r="D82" s="8">
        <v>1234.0</v>
      </c>
      <c r="E82" s="8" t="s">
        <v>48</v>
      </c>
      <c r="F82" s="9"/>
      <c r="G82" s="10"/>
      <c r="H82" s="7"/>
      <c r="I82" s="7"/>
      <c r="J82" s="10"/>
      <c r="K82" s="10"/>
      <c r="L82" s="10"/>
      <c r="M82" s="10"/>
      <c r="N82" s="7"/>
      <c r="O82" s="7"/>
      <c r="P82" s="7" t="str">
        <f t="shared" si="2"/>
        <v>No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0"/>
      <c r="AN82" s="7"/>
      <c r="AO82" s="7">
        <v>45943.0</v>
      </c>
      <c r="AP82" s="7">
        <v>46073.0</v>
      </c>
      <c r="AQ82" s="7">
        <v>45943.0</v>
      </c>
      <c r="AR82" s="7">
        <v>46073.0</v>
      </c>
      <c r="AS82" s="7"/>
      <c r="AT82" s="7"/>
    </row>
    <row r="83" ht="15.75" customHeight="1">
      <c r="A83" s="6" t="s">
        <v>358</v>
      </c>
      <c r="B83" s="7" t="s">
        <v>358</v>
      </c>
      <c r="C83" s="7" t="s">
        <v>319</v>
      </c>
      <c r="D83" s="8">
        <v>897.0</v>
      </c>
      <c r="E83" s="8" t="s">
        <v>48</v>
      </c>
      <c r="F83" s="9"/>
      <c r="G83" s="10"/>
      <c r="H83" s="7"/>
      <c r="I83" s="7"/>
      <c r="J83" s="10"/>
      <c r="K83" s="10"/>
      <c r="L83" s="10"/>
      <c r="M83" s="10"/>
      <c r="N83" s="7"/>
      <c r="O83" s="7"/>
      <c r="P83" s="7" t="str">
        <f t="shared" si="2"/>
        <v>No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0"/>
      <c r="AN83" s="7"/>
      <c r="AO83" s="7">
        <v>45868.0</v>
      </c>
      <c r="AP83" s="7">
        <v>46102.0</v>
      </c>
      <c r="AQ83" s="7">
        <v>45868.0</v>
      </c>
      <c r="AR83" s="7">
        <v>46102.0</v>
      </c>
      <c r="AS83" s="7"/>
      <c r="AT83" s="7"/>
    </row>
    <row r="84" ht="15.75" customHeight="1">
      <c r="A84" s="6" t="s">
        <v>359</v>
      </c>
      <c r="B84" s="7" t="s">
        <v>359</v>
      </c>
      <c r="C84" s="7" t="s">
        <v>359</v>
      </c>
      <c r="D84" s="8">
        <v>3580.0</v>
      </c>
      <c r="E84" s="8" t="s">
        <v>48</v>
      </c>
      <c r="F84" s="9"/>
      <c r="G84" s="10"/>
      <c r="H84" s="7" t="s">
        <v>360</v>
      </c>
      <c r="I84" s="7" t="s">
        <v>80</v>
      </c>
      <c r="J84" s="10"/>
      <c r="K84" s="10"/>
      <c r="L84" s="10"/>
      <c r="M84" s="10">
        <v>5.5226625E7</v>
      </c>
      <c r="N84" s="7"/>
      <c r="O84" s="7"/>
      <c r="P84" s="7" t="str">
        <f t="shared" si="2"/>
        <v>No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0"/>
      <c r="AN84" s="7" t="s">
        <v>134</v>
      </c>
      <c r="AO84" s="7">
        <v>45586.0</v>
      </c>
      <c r="AP84" s="7">
        <v>46073.0</v>
      </c>
      <c r="AQ84" s="7">
        <v>42285.0</v>
      </c>
      <c r="AR84" s="7">
        <v>46096.0</v>
      </c>
      <c r="AS84" s="7"/>
      <c r="AT84" s="7"/>
    </row>
    <row r="85" ht="15.75" customHeight="1">
      <c r="A85" s="6" t="s">
        <v>361</v>
      </c>
      <c r="B85" s="7" t="s">
        <v>361</v>
      </c>
      <c r="C85" s="7" t="s">
        <v>361</v>
      </c>
      <c r="D85" s="8">
        <v>14387.0</v>
      </c>
      <c r="E85" s="8">
        <v>20815.0</v>
      </c>
      <c r="F85" s="9"/>
      <c r="G85" s="10"/>
      <c r="H85" s="7" t="s">
        <v>362</v>
      </c>
      <c r="I85" s="7" t="s">
        <v>332</v>
      </c>
      <c r="J85" s="10"/>
      <c r="K85" s="10"/>
      <c r="L85" s="10"/>
      <c r="M85" s="10">
        <v>2.0609219E7</v>
      </c>
      <c r="N85" s="7"/>
      <c r="O85" s="7"/>
      <c r="P85" s="7" t="str">
        <f t="shared" si="2"/>
        <v>No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 t="s">
        <v>363</v>
      </c>
      <c r="AM85" s="10" t="s">
        <v>364</v>
      </c>
      <c r="AN85" s="7" t="s">
        <v>250</v>
      </c>
      <c r="AO85" s="7">
        <v>45895.0</v>
      </c>
      <c r="AP85" s="7">
        <v>45947.0</v>
      </c>
      <c r="AQ85" s="7">
        <v>40412.0</v>
      </c>
      <c r="AR85" s="7">
        <v>47352.0</v>
      </c>
      <c r="AS85" s="7"/>
      <c r="AT85" s="7" t="s">
        <v>251</v>
      </c>
    </row>
    <row r="86" ht="45.0" customHeight="1">
      <c r="A86" s="6" t="s">
        <v>365</v>
      </c>
      <c r="B86" s="7" t="s">
        <v>365</v>
      </c>
      <c r="C86" s="7" t="s">
        <v>365</v>
      </c>
      <c r="D86" s="8">
        <v>0.0</v>
      </c>
      <c r="E86" s="8" t="s">
        <v>48</v>
      </c>
      <c r="F86" s="9"/>
      <c r="G86" s="10"/>
      <c r="H86" s="7"/>
      <c r="I86" s="7"/>
      <c r="J86" s="10"/>
      <c r="K86" s="10"/>
      <c r="L86" s="10"/>
      <c r="M86" s="10"/>
      <c r="N86" s="7"/>
      <c r="O86" s="7"/>
      <c r="P86" s="7" t="str">
        <f t="shared" si="2"/>
        <v>No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0"/>
      <c r="AN86" s="7"/>
      <c r="AO86" s="7">
        <v>46073.0</v>
      </c>
      <c r="AP86" s="7">
        <v>46073.0</v>
      </c>
      <c r="AQ86" s="7">
        <v>45600.0</v>
      </c>
      <c r="AR86" s="7">
        <v>46414.0</v>
      </c>
      <c r="AS86" s="7"/>
      <c r="AT86" s="7"/>
    </row>
    <row r="87" ht="15.75" customHeight="1">
      <c r="A87" s="6" t="s">
        <v>366</v>
      </c>
      <c r="B87" s="7" t="s">
        <v>366</v>
      </c>
      <c r="C87" s="7" t="s">
        <v>366</v>
      </c>
      <c r="D87" s="8">
        <v>897.0</v>
      </c>
      <c r="E87" s="8" t="s">
        <v>48</v>
      </c>
      <c r="F87" s="9"/>
      <c r="G87" s="10"/>
      <c r="H87" s="7"/>
      <c r="I87" s="7" t="s">
        <v>80</v>
      </c>
      <c r="J87" s="10"/>
      <c r="K87" s="10"/>
      <c r="L87" s="10"/>
      <c r="M87" s="10"/>
      <c r="N87" s="7"/>
      <c r="O87" s="7"/>
      <c r="P87" s="7" t="str">
        <f t="shared" si="2"/>
        <v>No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10"/>
      <c r="AN87" s="7" t="s">
        <v>134</v>
      </c>
      <c r="AO87" s="7">
        <v>44091.0</v>
      </c>
      <c r="AP87" s="7">
        <v>46073.0</v>
      </c>
      <c r="AQ87" s="7">
        <v>44091.0</v>
      </c>
      <c r="AR87" s="7">
        <v>46073.0</v>
      </c>
      <c r="AS87" s="7"/>
      <c r="AT87" s="7"/>
    </row>
    <row r="88" ht="15.75" customHeight="1">
      <c r="A88" s="6" t="s">
        <v>367</v>
      </c>
      <c r="B88" s="7" t="s">
        <v>367</v>
      </c>
      <c r="C88" s="7" t="s">
        <v>367</v>
      </c>
      <c r="D88" s="8">
        <v>0.0</v>
      </c>
      <c r="E88" s="8" t="s">
        <v>48</v>
      </c>
      <c r="F88" s="9"/>
      <c r="G88" s="10"/>
      <c r="H88" s="7"/>
      <c r="I88" s="7"/>
      <c r="J88" s="10"/>
      <c r="K88" s="10"/>
      <c r="L88" s="10"/>
      <c r="M88" s="10"/>
      <c r="N88" s="7"/>
      <c r="O88" s="7"/>
      <c r="P88" s="7" t="str">
        <f t="shared" si="2"/>
        <v>No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10"/>
      <c r="AN88" s="7"/>
      <c r="AO88" s="7">
        <v>45943.0</v>
      </c>
      <c r="AP88" s="7">
        <v>45943.0</v>
      </c>
      <c r="AQ88" s="7">
        <v>45580.0</v>
      </c>
      <c r="AR88" s="7">
        <v>46073.0</v>
      </c>
      <c r="AS88" s="7"/>
      <c r="AT88" s="7"/>
    </row>
    <row r="89" ht="15.75" customHeight="1">
      <c r="A89" s="6" t="s">
        <v>368</v>
      </c>
      <c r="B89" s="7" t="s">
        <v>368</v>
      </c>
      <c r="C89" s="7" t="s">
        <v>368</v>
      </c>
      <c r="D89" s="8">
        <v>897.0</v>
      </c>
      <c r="E89" s="8" t="s">
        <v>48</v>
      </c>
      <c r="F89" s="9"/>
      <c r="G89" s="10"/>
      <c r="H89" s="7"/>
      <c r="I89" s="7"/>
      <c r="J89" s="10"/>
      <c r="K89" s="10"/>
      <c r="L89" s="10"/>
      <c r="M89" s="10"/>
      <c r="N89" s="7"/>
      <c r="O89" s="7"/>
      <c r="P89" s="7" t="str">
        <f t="shared" si="2"/>
        <v>No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10"/>
      <c r="AN89" s="7"/>
      <c r="AO89" s="7">
        <v>45748.0</v>
      </c>
      <c r="AP89" s="7">
        <v>46073.0</v>
      </c>
      <c r="AQ89" s="7">
        <v>45702.0</v>
      </c>
      <c r="AR89" s="7">
        <v>46073.0</v>
      </c>
      <c r="AS89" s="7"/>
      <c r="AT89" s="7"/>
    </row>
    <row r="90" ht="45.0" customHeight="1">
      <c r="A90" s="6" t="s">
        <v>369</v>
      </c>
      <c r="B90" s="7" t="s">
        <v>369</v>
      </c>
      <c r="C90" s="7" t="s">
        <v>369</v>
      </c>
      <c r="D90" s="8">
        <v>897.0</v>
      </c>
      <c r="E90" s="8" t="s">
        <v>48</v>
      </c>
      <c r="F90" s="9"/>
      <c r="G90" s="10"/>
      <c r="H90" s="7"/>
      <c r="I90" s="7"/>
      <c r="J90" s="10"/>
      <c r="K90" s="10"/>
      <c r="L90" s="10"/>
      <c r="M90" s="10"/>
      <c r="N90" s="7"/>
      <c r="O90" s="7"/>
      <c r="P90" s="7" t="str">
        <f t="shared" si="2"/>
        <v>No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10"/>
      <c r="AN90" s="7"/>
      <c r="AO90" s="7">
        <v>46029.0</v>
      </c>
      <c r="AP90" s="7">
        <v>46073.0</v>
      </c>
      <c r="AQ90" s="7">
        <v>45993.0</v>
      </c>
      <c r="AR90" s="7">
        <v>46357.0</v>
      </c>
      <c r="AS90" s="7"/>
      <c r="AT90" s="7"/>
    </row>
    <row r="91" ht="15.75" customHeight="1">
      <c r="A91" s="6" t="s">
        <v>370</v>
      </c>
      <c r="B91" s="7" t="s">
        <v>370</v>
      </c>
      <c r="C91" s="7" t="s">
        <v>370</v>
      </c>
      <c r="D91" s="8">
        <v>897.0</v>
      </c>
      <c r="E91" s="8" t="s">
        <v>48</v>
      </c>
      <c r="F91" s="9"/>
      <c r="G91" s="10"/>
      <c r="H91" s="7"/>
      <c r="I91" s="7" t="s">
        <v>80</v>
      </c>
      <c r="J91" s="10"/>
      <c r="K91" s="10"/>
      <c r="L91" s="10"/>
      <c r="M91" s="10"/>
      <c r="N91" s="7"/>
      <c r="O91" s="7"/>
      <c r="P91" s="7" t="str">
        <f t="shared" si="2"/>
        <v>No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10"/>
      <c r="AN91" s="7" t="s">
        <v>134</v>
      </c>
      <c r="AO91" s="7">
        <v>44091.0</v>
      </c>
      <c r="AP91" s="7">
        <v>46073.0</v>
      </c>
      <c r="AQ91" s="7">
        <v>43987.0</v>
      </c>
      <c r="AR91" s="7">
        <v>46073.0</v>
      </c>
      <c r="AS91" s="7"/>
      <c r="AT91" s="7"/>
    </row>
    <row r="92" ht="45.0" customHeight="1">
      <c r="A92" s="6" t="s">
        <v>371</v>
      </c>
      <c r="B92" s="7" t="s">
        <v>371</v>
      </c>
      <c r="C92" s="7" t="s">
        <v>371</v>
      </c>
      <c r="D92" s="8">
        <v>3117.0</v>
      </c>
      <c r="E92" s="8">
        <v>71526.0</v>
      </c>
      <c r="F92" s="9" t="s">
        <v>372</v>
      </c>
      <c r="G92" s="10"/>
      <c r="H92" s="7" t="s">
        <v>373</v>
      </c>
      <c r="I92" s="7" t="s">
        <v>80</v>
      </c>
      <c r="J92" s="10">
        <v>591279.0</v>
      </c>
      <c r="K92" s="10">
        <v>580755.0</v>
      </c>
      <c r="L92" s="10"/>
      <c r="M92" s="10">
        <v>508651.0</v>
      </c>
      <c r="N92" s="7"/>
      <c r="O92" s="7"/>
      <c r="P92" s="7" t="str">
        <f t="shared" si="2"/>
        <v>No</v>
      </c>
      <c r="Q92" s="12" t="s">
        <v>374</v>
      </c>
      <c r="R92" s="7" t="s">
        <v>375</v>
      </c>
      <c r="S92" s="7" t="s">
        <v>376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 t="s">
        <v>377</v>
      </c>
      <c r="AL92" s="7">
        <v>7.0</v>
      </c>
      <c r="AM92" s="10">
        <v>1000.0</v>
      </c>
      <c r="AN92" s="7" t="s">
        <v>378</v>
      </c>
      <c r="AO92" s="7">
        <v>45784.0</v>
      </c>
      <c r="AP92" s="7">
        <v>46095.0</v>
      </c>
      <c r="AQ92" s="7">
        <v>38907.0</v>
      </c>
      <c r="AR92" s="7">
        <v>46100.0</v>
      </c>
      <c r="AS92" s="7"/>
      <c r="AT92" s="7" t="s">
        <v>379</v>
      </c>
    </row>
    <row r="93" ht="15.75" customHeight="1">
      <c r="A93" s="6" t="s">
        <v>380</v>
      </c>
      <c r="B93" s="7" t="s">
        <v>380</v>
      </c>
      <c r="C93" s="7" t="s">
        <v>380</v>
      </c>
      <c r="D93" s="8">
        <v>3744.0</v>
      </c>
      <c r="E93" s="8" t="s">
        <v>48</v>
      </c>
      <c r="F93" s="9"/>
      <c r="G93" s="10"/>
      <c r="H93" s="7"/>
      <c r="I93" s="7"/>
      <c r="J93" s="10"/>
      <c r="K93" s="10"/>
      <c r="L93" s="10"/>
      <c r="M93" s="10"/>
      <c r="N93" s="7"/>
      <c r="O93" s="7"/>
      <c r="P93" s="7" t="str">
        <f t="shared" si="2"/>
        <v>No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10"/>
      <c r="AN93" s="7"/>
      <c r="AO93" s="7">
        <v>45153.0</v>
      </c>
      <c r="AP93" s="7">
        <v>46096.0</v>
      </c>
      <c r="AQ93" s="7">
        <v>45153.0</v>
      </c>
      <c r="AR93" s="7">
        <v>46096.0</v>
      </c>
      <c r="AS93" s="7"/>
      <c r="AT93" s="7"/>
    </row>
    <row r="94" ht="15.75" customHeight="1">
      <c r="A94" s="6" t="s">
        <v>381</v>
      </c>
      <c r="B94" s="7" t="s">
        <v>381</v>
      </c>
      <c r="C94" s="7" t="s">
        <v>381</v>
      </c>
      <c r="D94" s="8">
        <v>897.0</v>
      </c>
      <c r="E94" s="8" t="s">
        <v>48</v>
      </c>
      <c r="F94" s="9"/>
      <c r="G94" s="10"/>
      <c r="H94" s="7"/>
      <c r="I94" s="7"/>
      <c r="J94" s="10"/>
      <c r="K94" s="10"/>
      <c r="L94" s="10"/>
      <c r="M94" s="10"/>
      <c r="N94" s="7"/>
      <c r="O94" s="7"/>
      <c r="P94" s="7" t="str">
        <f t="shared" si="2"/>
        <v>No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10"/>
      <c r="AN94" s="7"/>
      <c r="AO94" s="7">
        <v>45755.0</v>
      </c>
      <c r="AP94" s="7">
        <v>46073.0</v>
      </c>
      <c r="AQ94" s="7">
        <v>45721.0</v>
      </c>
      <c r="AR94" s="7">
        <v>46085.0</v>
      </c>
      <c r="AS94" s="7"/>
      <c r="AT94" s="7"/>
    </row>
    <row r="95" ht="15.75" customHeight="1">
      <c r="A95" s="6" t="s">
        <v>382</v>
      </c>
      <c r="B95" s="7" t="s">
        <v>382</v>
      </c>
      <c r="C95" s="7" t="s">
        <v>382</v>
      </c>
      <c r="D95" s="8">
        <v>897.0</v>
      </c>
      <c r="E95" s="8" t="s">
        <v>48</v>
      </c>
      <c r="F95" s="9"/>
      <c r="G95" s="10"/>
      <c r="H95" s="7"/>
      <c r="I95" s="7"/>
      <c r="J95" s="10"/>
      <c r="K95" s="10"/>
      <c r="L95" s="10"/>
      <c r="M95" s="10"/>
      <c r="N95" s="7"/>
      <c r="O95" s="7"/>
      <c r="P95" s="7" t="str">
        <f t="shared" si="2"/>
        <v>No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10"/>
      <c r="AN95" s="7"/>
      <c r="AO95" s="7">
        <v>45943.0</v>
      </c>
      <c r="AP95" s="7">
        <v>46073.0</v>
      </c>
      <c r="AQ95" s="7">
        <v>45563.0</v>
      </c>
      <c r="AR95" s="7">
        <v>46292.0</v>
      </c>
      <c r="AS95" s="7"/>
      <c r="AT95" s="7"/>
    </row>
    <row r="96" ht="15.75" customHeight="1">
      <c r="A96" s="6" t="s">
        <v>383</v>
      </c>
      <c r="B96" s="7" t="s">
        <v>383</v>
      </c>
      <c r="C96" s="7" t="s">
        <v>383</v>
      </c>
      <c r="D96" s="8">
        <v>0.0</v>
      </c>
      <c r="E96" s="8" t="s">
        <v>48</v>
      </c>
      <c r="F96" s="9"/>
      <c r="G96" s="10"/>
      <c r="H96" s="7"/>
      <c r="I96" s="7"/>
      <c r="J96" s="10"/>
      <c r="K96" s="10"/>
      <c r="L96" s="10"/>
      <c r="M96" s="10"/>
      <c r="N96" s="7"/>
      <c r="O96" s="7"/>
      <c r="P96" s="7" t="str">
        <f t="shared" si="2"/>
        <v>No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10"/>
      <c r="AN96" s="7"/>
      <c r="AO96" s="7">
        <v>46073.0</v>
      </c>
      <c r="AP96" s="7">
        <v>46073.0</v>
      </c>
      <c r="AQ96" s="7">
        <v>46036.0</v>
      </c>
      <c r="AR96" s="7">
        <v>46400.0</v>
      </c>
      <c r="AS96" s="7"/>
      <c r="AT96" s="7"/>
    </row>
    <row r="97" ht="15.75" customHeight="1">
      <c r="A97" s="6" t="s">
        <v>384</v>
      </c>
      <c r="B97" s="7" t="s">
        <v>384</v>
      </c>
      <c r="C97" s="7" t="s">
        <v>384</v>
      </c>
      <c r="D97" s="8">
        <v>897.0</v>
      </c>
      <c r="E97" s="8" t="s">
        <v>48</v>
      </c>
      <c r="F97" s="9"/>
      <c r="G97" s="10"/>
      <c r="H97" s="7"/>
      <c r="I97" s="7"/>
      <c r="J97" s="10"/>
      <c r="K97" s="10"/>
      <c r="L97" s="10"/>
      <c r="M97" s="10"/>
      <c r="N97" s="7"/>
      <c r="O97" s="7"/>
      <c r="P97" s="7" t="str">
        <f t="shared" si="2"/>
        <v>No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10"/>
      <c r="AN97" s="7"/>
      <c r="AO97" s="7">
        <v>45979.0</v>
      </c>
      <c r="AP97" s="7">
        <v>46073.0</v>
      </c>
      <c r="AQ97" s="7">
        <v>45951.0</v>
      </c>
      <c r="AR97" s="7">
        <v>46073.0</v>
      </c>
      <c r="AS97" s="7"/>
      <c r="AT97" s="7"/>
    </row>
    <row r="98" ht="15.75" customHeight="1">
      <c r="A98" s="6" t="s">
        <v>385</v>
      </c>
      <c r="B98" s="7" t="s">
        <v>385</v>
      </c>
      <c r="C98" s="7" t="s">
        <v>385</v>
      </c>
      <c r="D98" s="8">
        <v>897.0</v>
      </c>
      <c r="E98" s="8" t="s">
        <v>48</v>
      </c>
      <c r="F98" s="9"/>
      <c r="G98" s="10"/>
      <c r="H98" s="7"/>
      <c r="I98" s="7"/>
      <c r="J98" s="10"/>
      <c r="K98" s="10"/>
      <c r="L98" s="10"/>
      <c r="M98" s="10"/>
      <c r="N98" s="7"/>
      <c r="O98" s="7"/>
      <c r="P98" s="7" t="str">
        <f t="shared" si="2"/>
        <v>No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10"/>
      <c r="AN98" s="7"/>
      <c r="AO98" s="7">
        <v>45426.0</v>
      </c>
      <c r="AP98" s="7">
        <v>46073.0</v>
      </c>
      <c r="AQ98" s="7">
        <v>45426.0</v>
      </c>
      <c r="AR98" s="7">
        <v>46073.0</v>
      </c>
      <c r="AS98" s="7"/>
      <c r="AT98" s="7"/>
    </row>
    <row r="99" ht="15.75" customHeight="1">
      <c r="A99" s="6" t="s">
        <v>386</v>
      </c>
      <c r="B99" s="7" t="s">
        <v>386</v>
      </c>
      <c r="C99" s="7" t="s">
        <v>386</v>
      </c>
      <c r="D99" s="8">
        <v>0.0</v>
      </c>
      <c r="E99" s="8" t="s">
        <v>48</v>
      </c>
      <c r="F99" s="9"/>
      <c r="G99" s="10"/>
      <c r="H99" s="7" t="s">
        <v>387</v>
      </c>
      <c r="I99" s="7" t="s">
        <v>132</v>
      </c>
      <c r="J99" s="10"/>
      <c r="K99" s="10"/>
      <c r="L99" s="10"/>
      <c r="M99" s="10">
        <v>7.8263761E7</v>
      </c>
      <c r="N99" s="7"/>
      <c r="O99" s="7"/>
      <c r="P99" s="7" t="str">
        <f t="shared" si="2"/>
        <v>No</v>
      </c>
      <c r="Q99" s="7" t="s">
        <v>388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10"/>
      <c r="AN99" s="7" t="s">
        <v>134</v>
      </c>
      <c r="AO99" s="7">
        <v>45895.0</v>
      </c>
      <c r="AP99" s="7">
        <v>46029.0</v>
      </c>
      <c r="AQ99" s="7">
        <v>45100.0</v>
      </c>
      <c r="AR99" s="7">
        <v>46174.0</v>
      </c>
      <c r="AS99" s="7"/>
      <c r="AT99" s="7"/>
    </row>
    <row r="100" ht="15.75" customHeight="1">
      <c r="A100" s="6" t="s">
        <v>389</v>
      </c>
      <c r="B100" s="7" t="s">
        <v>389</v>
      </c>
      <c r="C100" s="7" t="s">
        <v>389</v>
      </c>
      <c r="D100" s="8">
        <v>0.0</v>
      </c>
      <c r="E100" s="8" t="s">
        <v>48</v>
      </c>
      <c r="F100" s="9"/>
      <c r="G100" s="10"/>
      <c r="H100" s="7"/>
      <c r="I100" s="7"/>
      <c r="J100" s="10"/>
      <c r="K100" s="10"/>
      <c r="L100" s="10"/>
      <c r="M100" s="10"/>
      <c r="N100" s="7"/>
      <c r="O100" s="7"/>
      <c r="P100" s="7" t="str">
        <f t="shared" si="2"/>
        <v>No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10"/>
      <c r="AN100" s="7"/>
      <c r="AO100" s="7">
        <v>46029.0</v>
      </c>
      <c r="AP100" s="7">
        <v>46029.0</v>
      </c>
      <c r="AQ100" s="7">
        <v>46029.0</v>
      </c>
      <c r="AR100" s="7">
        <v>46073.0</v>
      </c>
      <c r="AS100" s="7"/>
      <c r="AT100" s="7"/>
    </row>
    <row r="101" ht="15.75" customHeight="1">
      <c r="A101" s="6" t="s">
        <v>390</v>
      </c>
      <c r="B101" s="7" t="s">
        <v>390</v>
      </c>
      <c r="C101" s="7" t="s">
        <v>390</v>
      </c>
      <c r="D101" s="8">
        <v>7272.0</v>
      </c>
      <c r="E101" s="8" t="s">
        <v>48</v>
      </c>
      <c r="F101" s="9"/>
      <c r="G101" s="10"/>
      <c r="H101" s="7"/>
      <c r="I101" s="7"/>
      <c r="J101" s="10"/>
      <c r="K101" s="10"/>
      <c r="L101" s="10"/>
      <c r="M101" s="10"/>
      <c r="N101" s="7"/>
      <c r="O101" s="7"/>
      <c r="P101" s="7" t="str">
        <f t="shared" si="2"/>
        <v>No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10"/>
      <c r="AN101" s="7"/>
      <c r="AO101" s="7">
        <v>45979.0</v>
      </c>
      <c r="AP101" s="7">
        <v>46073.0</v>
      </c>
      <c r="AQ101" s="7">
        <v>45792.0</v>
      </c>
      <c r="AR101" s="7">
        <v>46156.0</v>
      </c>
      <c r="AS101" s="7"/>
      <c r="AT101" s="7"/>
    </row>
    <row r="102" ht="15.75" customHeight="1">
      <c r="A102" s="6" t="s">
        <v>391</v>
      </c>
      <c r="B102" s="7" t="s">
        <v>391</v>
      </c>
      <c r="C102" s="7" t="s">
        <v>391</v>
      </c>
      <c r="D102" s="8">
        <v>897.0</v>
      </c>
      <c r="E102" s="8" t="s">
        <v>48</v>
      </c>
      <c r="F102" s="9"/>
      <c r="G102" s="10"/>
      <c r="H102" s="7"/>
      <c r="I102" s="7"/>
      <c r="J102" s="10"/>
      <c r="K102" s="10"/>
      <c r="L102" s="10"/>
      <c r="M102" s="10"/>
      <c r="N102" s="7"/>
      <c r="O102" s="7"/>
      <c r="P102" s="7" t="str">
        <f t="shared" si="2"/>
        <v>No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10"/>
      <c r="AN102" s="7"/>
      <c r="AO102" s="7">
        <v>45943.0</v>
      </c>
      <c r="AP102" s="7">
        <v>46073.0</v>
      </c>
      <c r="AQ102" s="7">
        <v>45943.0</v>
      </c>
      <c r="AR102" s="7">
        <v>46073.0</v>
      </c>
      <c r="AS102" s="7"/>
      <c r="AT102" s="7"/>
    </row>
    <row r="103" ht="15.75" customHeight="1">
      <c r="A103" s="14" t="s">
        <v>392</v>
      </c>
      <c r="B103" s="15"/>
      <c r="C103" s="15"/>
      <c r="D103" s="16"/>
      <c r="E103" s="16"/>
      <c r="F103" s="17"/>
      <c r="G103" s="18"/>
      <c r="H103" s="15"/>
      <c r="I103" s="15"/>
      <c r="J103" s="18"/>
      <c r="K103" s="18"/>
      <c r="L103" s="18"/>
      <c r="M103" s="18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8"/>
      <c r="AN103" s="15"/>
      <c r="AO103" s="15"/>
      <c r="AP103" s="15"/>
      <c r="AQ103" s="15"/>
      <c r="AR103" s="15"/>
      <c r="AS103" s="15"/>
      <c r="AT103" s="15"/>
    </row>
  </sheetData>
  <autoFilter ref="$A$2:$AT$103">
    <sortState ref="A2:AT103">
      <sortCondition ref="N2:N103"/>
    </sortState>
  </autoFilter>
  <dataValidations>
    <dataValidation type="list" allowBlank="1" showErrorMessage="1" sqref="P3:P102">
      <formula1>"Yes,No"</formula1>
    </dataValidation>
  </dataValidations>
  <hyperlinks>
    <hyperlink r:id="rId4" ref="B50"/>
  </hyperlinks>
  <printOptions/>
  <pageMargins bottom="0.75" footer="0.0" header="0.0" left="0.7" right="0.7" top="0.75"/>
  <pageSetup orientation="landscape"/>
  <drawing r:id="rId5"/>
  <legacyDrawing r:id="rId6"/>
</worksheet>
</file>